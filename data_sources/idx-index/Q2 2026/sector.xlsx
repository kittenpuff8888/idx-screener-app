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va\Downloads\"/>
    </mc:Choice>
  </mc:AlternateContent>
  <xr:revisionPtr revIDLastSave="0" documentId="13_ncr:1_{3F2F24AB-75DD-4B76-BCA8-E95C655F07F3}" xr6:coauthVersionLast="47" xr6:coauthVersionMax="47" xr10:uidLastSave="{00000000-0000-0000-0000-000000000000}"/>
  <bookViews>
    <workbookView xWindow="-110" yWindow="-110" windowWidth="19420" windowHeight="10300" xr2:uid="{00000000-000D-0000-FFFF-FFFF00000000}"/>
  </bookViews>
  <sheets>
    <sheet name="A ENERGY" sheetId="5" r:id="rId1"/>
    <sheet name="B BASIC" sheetId="3" r:id="rId2"/>
    <sheet name="C INDUST" sheetId="8" r:id="rId3"/>
    <sheet name="D NONCYC" sheetId="10" r:id="rId4"/>
    <sheet name="E CYCLIC" sheetId="4" r:id="rId5"/>
    <sheet name="F HEALTH" sheetId="6" r:id="rId6"/>
    <sheet name="G FINANCE" sheetId="7" r:id="rId7"/>
    <sheet name="H PROPERT" sheetId="11" r:id="rId8"/>
    <sheet name="I TECHNO" sheetId="12" r:id="rId9"/>
    <sheet name="J INFRA" sheetId="9" r:id="rId10"/>
    <sheet name="K TRANS" sheetId="13" r:id="rId11"/>
  </sheets>
  <definedNames>
    <definedName name="_xlnm._FilterDatabase" localSheetId="0" hidden="1">'A ENERGY'!$E$9:$J$9</definedName>
    <definedName name="_xlnm._FilterDatabase" localSheetId="1" hidden="1">'B BASIC'!$K$9:$L$9</definedName>
    <definedName name="_xlnm._FilterDatabase" localSheetId="2" hidden="1">'C INDUST'!$K$9:$L$9</definedName>
    <definedName name="_xlnm._FilterDatabase" localSheetId="3" hidden="1">'D NONCYC'!$K$9:$L$9</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<sst xmlns="http://schemas.openxmlformats.org/spreadsheetml/2006/main" count="947" uniqueCount="947">
  <si>
    <t>Lampiran 5 Pengumuman BEI No. Peng-00044/BEI.POP/03-2026 tanggal 25 Maret 2026</t>
  </si>
  <si>
    <t xml:space="preserve">Nama Indeks </t>
  </si>
  <si>
    <t xml:space="preserve">:  IDXENERGY</t>
  </si>
  <si>
    <t xml:space="preserve">Evaluasi         </t>
  </si>
  <si>
    <t xml:space="preserve">:  Minor</t>
  </si>
  <si>
    <t xml:space="preserve">Periode Efektif Konstituen </t>
  </si>
  <si>
    <t xml:space="preserve">:  1 April s.d. 30 Juni 2026</t>
  </si>
  <si>
    <t>Periode Efektif Jumlah Saham Penghitungan Indeks</t>
  </si>
  <si>
    <t>No.</t>
  </si>
  <si>
    <t>Kode</t>
  </si>
  <si>
    <t>Rasio Free Float</t>
  </si>
  <si>
    <t>Jumlah Saham untuk Indeks (lembar)</t>
  </si>
  <si>
    <t>Bobot pada Indeks</t>
  </si>
  <si>
    <t>Pra Evaluasi</t>
  </si>
  <si>
    <t xml:space="preserve">Pasca Evaluasi *
(9% Cap)</t>
  </si>
  <si>
    <r xmlns="http://schemas.openxmlformats.org/spreadsheetml/2006/main">
      <t xml:space="preserve">Keterangan
</t>
    </r>
    <r xmlns="http://schemas.openxmlformats.org/spreadsheetml/2006/main">
      <rPr>
        <sz val="10"/>
        <rFont val="Times New Roman"/>
        <family val="1"/>
      </rPr>
      <t>Tetap/Naik/
Turun/</t>
    </r>
    <r xmlns="http://schemas.openxmlformats.org/spreadsheetml/2006/main">
      <rPr>
        <b/>
        <sz val="10"/>
        <rFont val="Times New Roman"/>
        <family val="1"/>
      </rPr>
      <t>Baru</t>
    </r>
  </si>
  <si>
    <t xml:space="preserve">Pra 
Evaluasi</t>
  </si>
  <si>
    <t>Pasca Evaluasi</t>
  </si>
  <si>
    <t>AADI</t>
  </si>
  <si>
    <t>Naik</t>
  </si>
  <si>
    <t>Turun</t>
  </si>
  <si>
    <t>ABMM</t>
  </si>
  <si>
    <t>ADMR</t>
  </si>
  <si>
    <t>ADRO</t>
  </si>
  <si>
    <t>Tetap</t>
  </si>
  <si>
    <t>AIMS</t>
  </si>
  <si>
    <t>AKRA</t>
  </si>
  <si>
    <t>ALII</t>
  </si>
  <si>
    <t>APEX</t>
  </si>
  <si>
    <t>ARII</t>
  </si>
  <si>
    <t>ARTI</t>
  </si>
  <si>
    <t>ATLA</t>
  </si>
  <si>
    <t>BBRM</t>
  </si>
  <si>
    <t>BESS</t>
  </si>
  <si>
    <t>BIPI</t>
  </si>
  <si>
    <t>BOAT</t>
  </si>
  <si>
    <t>BOSS</t>
  </si>
  <si>
    <t>BSML</t>
  </si>
  <si>
    <t>BSSR</t>
  </si>
  <si>
    <t>BULL</t>
  </si>
  <si>
    <t>BUMI</t>
  </si>
  <si>
    <t>BYAN</t>
  </si>
  <si>
    <t>CANI</t>
  </si>
  <si>
    <t>CBRE</t>
  </si>
  <si>
    <t>CGAS</t>
  </si>
  <si>
    <t>CNKO</t>
  </si>
  <si>
    <t>COAL</t>
  </si>
  <si>
    <t>CUAN</t>
  </si>
  <si>
    <t>DEWA</t>
  </si>
  <si>
    <t>DOID</t>
  </si>
  <si>
    <t>DSSA</t>
  </si>
  <si>
    <t>DWGL</t>
  </si>
  <si>
    <t>ELSA</t>
  </si>
  <si>
    <t>ENRG</t>
  </si>
  <si>
    <t>FIRE</t>
  </si>
  <si>
    <t>GEMS</t>
  </si>
  <si>
    <t>GTBO</t>
  </si>
  <si>
    <t>GTSI</t>
  </si>
  <si>
    <t>HILL</t>
  </si>
  <si>
    <t>HITS</t>
  </si>
  <si>
    <t>HRUM</t>
  </si>
  <si>
    <t>HUMI</t>
  </si>
  <si>
    <t>IATA</t>
  </si>
  <si>
    <t>INDY</t>
  </si>
  <si>
    <t>INPS</t>
  </si>
  <si>
    <t>ITMA</t>
  </si>
  <si>
    <t>ITMG</t>
  </si>
  <si>
    <t>JSKY</t>
  </si>
  <si>
    <t>KKGI</t>
  </si>
  <si>
    <t>KOPI</t>
  </si>
  <si>
    <t>LEAD</t>
  </si>
  <si>
    <t>MAHA</t>
  </si>
  <si>
    <t>MBAP</t>
  </si>
  <si>
    <t>MBSS</t>
  </si>
  <si>
    <t>MCOL</t>
  </si>
  <si>
    <t>MEDC</t>
  </si>
  <si>
    <t>MKAP</t>
  </si>
  <si>
    <t>MTFN</t>
  </si>
  <si>
    <t>MYOH</t>
  </si>
  <si>
    <t>PGAS</t>
  </si>
  <si>
    <t>PKPK</t>
  </si>
  <si>
    <t>PSAT</t>
  </si>
  <si>
    <t>PSSI</t>
  </si>
  <si>
    <t>PTBA</t>
  </si>
  <si>
    <t>PTIS</t>
  </si>
  <si>
    <t>PTRO</t>
  </si>
  <si>
    <t>RAJA</t>
  </si>
  <si>
    <t>RATU</t>
  </si>
  <si>
    <t>RGAS</t>
  </si>
  <si>
    <t>RIGS</t>
  </si>
  <si>
    <t>RMKE</t>
  </si>
  <si>
    <t>RMKO</t>
  </si>
  <si>
    <t>RUIS</t>
  </si>
  <si>
    <t>SEMA</t>
  </si>
  <si>
    <t>SGER</t>
  </si>
  <si>
    <t>SHIP</t>
  </si>
  <si>
    <t>SICO</t>
  </si>
  <si>
    <t>SMMT</t>
  </si>
  <si>
    <t>SMRU</t>
  </si>
  <si>
    <t>SOCI</t>
  </si>
  <si>
    <t>SUGI</t>
  </si>
  <si>
    <t>SUNI</t>
  </si>
  <si>
    <t>SURE</t>
  </si>
  <si>
    <t>TAMU</t>
  </si>
  <si>
    <t>TCPI</t>
  </si>
  <si>
    <t>TEBE</t>
  </si>
  <si>
    <t>TOBA</t>
  </si>
  <si>
    <t>TPMA</t>
  </si>
  <si>
    <t>TRAM</t>
  </si>
  <si>
    <t>UNIQ</t>
  </si>
  <si>
    <t>WINS</t>
  </si>
  <si>
    <t>WOWS</t>
  </si>
  <si>
    <t>*Jumlah saham untuk perhitungan indeks akan disesuaikan pada tanggal efektif apabila terjadi aksi korporasi seperti stock split, reverse stock, right issue, saham bonus dan atau dividen saham yang terjadi pada saat sebelum tanggal efektif.</t>
  </si>
  <si>
    <t xml:space="preserve">:  IDXBASIC</t>
  </si>
  <si>
    <t>ADMG</t>
  </si>
  <si>
    <t>AGII</t>
  </si>
  <si>
    <t>AKPI</t>
  </si>
  <si>
    <t>ALDO</t>
  </si>
  <si>
    <t>ALKA</t>
  </si>
  <si>
    <t>ALMI</t>
  </si>
  <si>
    <t>AMMN</t>
  </si>
  <si>
    <t>ANTM</t>
  </si>
  <si>
    <t>APLI</t>
  </si>
  <si>
    <t>ARCI</t>
  </si>
  <si>
    <t>ASPR</t>
  </si>
  <si>
    <t>AVIA</t>
  </si>
  <si>
    <t>AYLS</t>
  </si>
  <si>
    <t>BAJA</t>
  </si>
  <si>
    <t>BATR</t>
  </si>
  <si>
    <t>BEBS</t>
  </si>
  <si>
    <t>BLES</t>
  </si>
  <si>
    <t>BMSR</t>
  </si>
  <si>
    <t>BRMS</t>
  </si>
  <si>
    <t>BRNA</t>
  </si>
  <si>
    <t>BRPT</t>
  </si>
  <si>
    <t>BTON</t>
  </si>
  <si>
    <t>CHEM</t>
  </si>
  <si>
    <t>CITA</t>
  </si>
  <si>
    <t>CLPI</t>
  </si>
  <si>
    <t>CMNT</t>
  </si>
  <si>
    <t>CTBN</t>
  </si>
  <si>
    <t>DAAZ</t>
  </si>
  <si>
    <t>DGWG</t>
  </si>
  <si>
    <t>DKFT</t>
  </si>
  <si>
    <t>DPNS</t>
  </si>
  <si>
    <t>EKAD</t>
  </si>
  <si>
    <t>EMAS</t>
  </si>
  <si>
    <t>EPAC</t>
  </si>
  <si>
    <t>ESIP</t>
  </si>
  <si>
    <t>ESSA</t>
  </si>
  <si>
    <t>ETWA</t>
  </si>
  <si>
    <t>FASW</t>
  </si>
  <si>
    <t>FPNI</t>
  </si>
  <si>
    <t>FWCT</t>
  </si>
  <si>
    <t>GDST</t>
  </si>
  <si>
    <t>GGRP</t>
  </si>
  <si>
    <t>HKMU</t>
  </si>
  <si>
    <t>IFII</t>
  </si>
  <si>
    <t>IFSH</t>
  </si>
  <si>
    <t>IGAR</t>
  </si>
  <si>
    <t>INAI</t>
  </si>
  <si>
    <t>INCF</t>
  </si>
  <si>
    <t>INCI</t>
  </si>
  <si>
    <t>INCO</t>
  </si>
  <si>
    <t>INKP</t>
  </si>
  <si>
    <t>INRU</t>
  </si>
  <si>
    <t>INTD</t>
  </si>
  <si>
    <t>INTP</t>
  </si>
  <si>
    <t>IPOL</t>
  </si>
  <si>
    <t>ISSP</t>
  </si>
  <si>
    <t>KAYU</t>
  </si>
  <si>
    <t>KBRI</t>
  </si>
  <si>
    <t>KDSI</t>
  </si>
  <si>
    <t>KKES</t>
  </si>
  <si>
    <t>KMTR</t>
  </si>
  <si>
    <t>KRAS</t>
  </si>
  <si>
    <t>LMSH</t>
  </si>
  <si>
    <t>LTLS</t>
  </si>
  <si>
    <t>MBMA</t>
  </si>
  <si>
    <t>MDKA</t>
  </si>
  <si>
    <t>MDKI</t>
  </si>
  <si>
    <t>MINE</t>
  </si>
  <si>
    <t>MOLI</t>
  </si>
  <si>
    <t>NCKL</t>
  </si>
  <si>
    <t>NICE</t>
  </si>
  <si>
    <t>NICL</t>
  </si>
  <si>
    <t>NIKL</t>
  </si>
  <si>
    <t>NPGF</t>
  </si>
  <si>
    <t>OBMD</t>
  </si>
  <si>
    <t>OKAS</t>
  </si>
  <si>
    <t>OPMS</t>
  </si>
  <si>
    <t>PBID</t>
  </si>
  <si>
    <t>PDPP</t>
  </si>
  <si>
    <t>PICO</t>
  </si>
  <si>
    <t>PPRI</t>
  </si>
  <si>
    <t>PSAB</t>
  </si>
  <si>
    <t>PTMR</t>
  </si>
  <si>
    <t>PURE</t>
  </si>
  <si>
    <t>SAMF</t>
  </si>
  <si>
    <t>SBMA</t>
  </si>
  <si>
    <t>SIMA</t>
  </si>
  <si>
    <t>SMBR</t>
  </si>
  <si>
    <t>SMCB</t>
  </si>
  <si>
    <t>SMGA</t>
  </si>
  <si>
    <t>SMGR</t>
  </si>
  <si>
    <t>SMKL</t>
  </si>
  <si>
    <t>SMLE</t>
  </si>
  <si>
    <t>SOLA</t>
  </si>
  <si>
    <t>SPMA</t>
  </si>
  <si>
    <t>SQMI</t>
  </si>
  <si>
    <t>SRSN</t>
  </si>
  <si>
    <t>SULI</t>
  </si>
  <si>
    <t>SWAT</t>
  </si>
  <si>
    <t>TALF</t>
  </si>
  <si>
    <t>TBMS</t>
  </si>
  <si>
    <t>TDPM</t>
  </si>
  <si>
    <t>TINS</t>
  </si>
  <si>
    <t>TIRT</t>
  </si>
  <si>
    <t>TKIM</t>
  </si>
  <si>
    <t>TPIA</t>
  </si>
  <si>
    <t>TRST</t>
  </si>
  <si>
    <t>UNIC</t>
  </si>
  <si>
    <t>WSBP</t>
  </si>
  <si>
    <t>WTON</t>
  </si>
  <si>
    <t>YPAS</t>
  </si>
  <si>
    <t>ZINC</t>
  </si>
  <si>
    <t xml:space="preserve">:  IDXINDUST</t>
  </si>
  <si>
    <t xml:space="preserve">Pasca Evaluasi *
(20% Cap)</t>
  </si>
  <si>
    <t>AMFG</t>
  </si>
  <si>
    <t>AMIN</t>
  </si>
  <si>
    <t>APII</t>
  </si>
  <si>
    <t>ARKA</t>
  </si>
  <si>
    <t>ARNA</t>
  </si>
  <si>
    <t>ASGR</t>
  </si>
  <si>
    <t>ASII</t>
  </si>
  <si>
    <t>BHIT</t>
  </si>
  <si>
    <t>BINO</t>
  </si>
  <si>
    <t>BLUE</t>
  </si>
  <si>
    <t>BNBR</t>
  </si>
  <si>
    <t>CAKK</t>
  </si>
  <si>
    <t>CCSI</t>
  </si>
  <si>
    <t>CRSN</t>
  </si>
  <si>
    <t>CTTH</t>
  </si>
  <si>
    <t>DYAN</t>
  </si>
  <si>
    <t>FOLK</t>
  </si>
  <si>
    <t>GPSO</t>
  </si>
  <si>
    <t>HEXA</t>
  </si>
  <si>
    <t>HOPE</t>
  </si>
  <si>
    <t>HYGN</t>
  </si>
  <si>
    <t>IBFN</t>
  </si>
  <si>
    <t>ICON</t>
  </si>
  <si>
    <t>IKAI</t>
  </si>
  <si>
    <t>IKBI</t>
  </si>
  <si>
    <t>IMPC</t>
  </si>
  <si>
    <t>INDX</t>
  </si>
  <si>
    <t>INTA</t>
  </si>
  <si>
    <t>JECC</t>
  </si>
  <si>
    <t>JTPE</t>
  </si>
  <si>
    <t>KBLI</t>
  </si>
  <si>
    <t>KBLM</t>
  </si>
  <si>
    <t>KIAS</t>
  </si>
  <si>
    <t>KOBX</t>
  </si>
  <si>
    <t>KOIN</t>
  </si>
  <si>
    <t>KONI</t>
  </si>
  <si>
    <t>KUAS</t>
  </si>
  <si>
    <t>LABA</t>
  </si>
  <si>
    <t>LION</t>
  </si>
  <si>
    <t>MARK</t>
  </si>
  <si>
    <t>MDRN</t>
  </si>
  <si>
    <t>MFMI</t>
  </si>
  <si>
    <t>MHKI</t>
  </si>
  <si>
    <t>MLIA</t>
  </si>
  <si>
    <t>MUTU</t>
  </si>
  <si>
    <t>NAIK</t>
  </si>
  <si>
    <t>NTBK</t>
  </si>
  <si>
    <t>PADA</t>
  </si>
  <si>
    <t>PIPA</t>
  </si>
  <si>
    <t>PTMP</t>
  </si>
  <si>
    <t>SCCO</t>
  </si>
  <si>
    <t>SINI</t>
  </si>
  <si>
    <t>SKRN</t>
  </si>
  <si>
    <t>SMIL</t>
  </si>
  <si>
    <t>SOSS</t>
  </si>
  <si>
    <t>SPTO</t>
  </si>
  <si>
    <t>TIRA</t>
  </si>
  <si>
    <t>TOTO</t>
  </si>
  <si>
    <t>TRIL</t>
  </si>
  <si>
    <t>UNTR</t>
  </si>
  <si>
    <t>VISI</t>
  </si>
  <si>
    <t>VOKS</t>
  </si>
  <si>
    <t>ZBRA</t>
  </si>
  <si>
    <t xml:space="preserve">:  IDXNONCYC</t>
  </si>
  <si>
    <t>AALI</t>
  </si>
  <si>
    <t>ADES</t>
  </si>
  <si>
    <t>AGAR</t>
  </si>
  <si>
    <t>AISA</t>
  </si>
  <si>
    <t>ALTO</t>
  </si>
  <si>
    <t>AMRT</t>
  </si>
  <si>
    <t>ANDI</t>
  </si>
  <si>
    <t>ANJT</t>
  </si>
  <si>
    <t>ASHA</t>
  </si>
  <si>
    <t>AYAM</t>
  </si>
  <si>
    <t>BEEF</t>
  </si>
  <si>
    <t>BEER</t>
  </si>
  <si>
    <t>BISI</t>
  </si>
  <si>
    <t>BOBA</t>
  </si>
  <si>
    <t>BRRC</t>
  </si>
  <si>
    <t>BTEK</t>
  </si>
  <si>
    <t>BUAH</t>
  </si>
  <si>
    <t>BUDI</t>
  </si>
  <si>
    <t>BWPT</t>
  </si>
  <si>
    <t>CAMP</t>
  </si>
  <si>
    <t>CBUT</t>
  </si>
  <si>
    <t>CEKA</t>
  </si>
  <si>
    <t>CLEO</t>
  </si>
  <si>
    <t>CMRY</t>
  </si>
  <si>
    <t>COCO</t>
  </si>
  <si>
    <t>CPIN</t>
  </si>
  <si>
    <t>CPRO</t>
  </si>
  <si>
    <t>CRAB</t>
  </si>
  <si>
    <t>CSRA</t>
  </si>
  <si>
    <t>DAYA</t>
  </si>
  <si>
    <t>DEWI</t>
  </si>
  <si>
    <t>DLTA</t>
  </si>
  <si>
    <t>DMND</t>
  </si>
  <si>
    <t>DPUM</t>
  </si>
  <si>
    <t>DSFI</t>
  </si>
  <si>
    <t>DSNG</t>
  </si>
  <si>
    <t>ENZO</t>
  </si>
  <si>
    <t>EPMT</t>
  </si>
  <si>
    <t>FAPA</t>
  </si>
  <si>
    <t>FISH</t>
  </si>
  <si>
    <t>FOOD</t>
  </si>
  <si>
    <t>FORE</t>
  </si>
  <si>
    <t>GGRM</t>
  </si>
  <si>
    <t>GOLL</t>
  </si>
  <si>
    <t>GOOD</t>
  </si>
  <si>
    <t>GULA</t>
  </si>
  <si>
    <t>GUNA</t>
  </si>
  <si>
    <t>GZCO</t>
  </si>
  <si>
    <t>HERO</t>
  </si>
  <si>
    <t>HMSP</t>
  </si>
  <si>
    <t>HOKI</t>
  </si>
  <si>
    <t>ICBP</t>
  </si>
  <si>
    <t>IKAN</t>
  </si>
  <si>
    <t>INDF</t>
  </si>
  <si>
    <t>IPPE</t>
  </si>
  <si>
    <t>ISEA</t>
  </si>
  <si>
    <t>ITIC</t>
  </si>
  <si>
    <t>JARR</t>
  </si>
  <si>
    <t>JAWA</t>
  </si>
  <si>
    <t>JPFA</t>
  </si>
  <si>
    <t>KEJU</t>
  </si>
  <si>
    <t>KINO</t>
  </si>
  <si>
    <t>KMDS</t>
  </si>
  <si>
    <t>LAPD</t>
  </si>
  <si>
    <t>LSIP</t>
  </si>
  <si>
    <t>MAGP</t>
  </si>
  <si>
    <t>MAIN</t>
  </si>
  <si>
    <t>MAXI</t>
  </si>
  <si>
    <t>MBTO</t>
  </si>
  <si>
    <t>MGRO</t>
  </si>
  <si>
    <t>MIDI</t>
  </si>
  <si>
    <t>MKTR</t>
  </si>
  <si>
    <t>MLBI</t>
  </si>
  <si>
    <t>MLPL</t>
  </si>
  <si>
    <t>MPPA</t>
  </si>
  <si>
    <t>MRAT</t>
  </si>
  <si>
    <t>MSJA</t>
  </si>
  <si>
    <t>MYOR</t>
  </si>
  <si>
    <t>NASI</t>
  </si>
  <si>
    <t>NEST</t>
  </si>
  <si>
    <t>NSSS</t>
  </si>
  <si>
    <t>OILS</t>
  </si>
  <si>
    <t>PCAR</t>
  </si>
  <si>
    <t>PGUN</t>
  </si>
  <si>
    <t>PMMP</t>
  </si>
  <si>
    <t>PNGO</t>
  </si>
  <si>
    <t>PSDN</t>
  </si>
  <si>
    <t>PSGO</t>
  </si>
  <si>
    <t>PTPS</t>
  </si>
  <si>
    <t>RANC</t>
  </si>
  <si>
    <t>RLCO</t>
  </si>
  <si>
    <t>ROTI</t>
  </si>
  <si>
    <t>SDPC</t>
  </si>
  <si>
    <t>SGRO</t>
  </si>
  <si>
    <t>SIMP</t>
  </si>
  <si>
    <t>SIPD</t>
  </si>
  <si>
    <t>SKBM</t>
  </si>
  <si>
    <t>SKLT</t>
  </si>
  <si>
    <t>SMAR</t>
  </si>
  <si>
    <t>SSMS</t>
  </si>
  <si>
    <t>STAA</t>
  </si>
  <si>
    <t>STRK</t>
  </si>
  <si>
    <t>STTP</t>
  </si>
  <si>
    <t>TAPG</t>
  </si>
  <si>
    <t>TAYS</t>
  </si>
  <si>
    <t>TBLA</t>
  </si>
  <si>
    <t>TCID</t>
  </si>
  <si>
    <t>TGKA</t>
  </si>
  <si>
    <t>TGUK</t>
  </si>
  <si>
    <t>TLDN</t>
  </si>
  <si>
    <t>TRGU</t>
  </si>
  <si>
    <t>UCID</t>
  </si>
  <si>
    <t>ULTJ</t>
  </si>
  <si>
    <t>UNSP</t>
  </si>
  <si>
    <t>UNVR</t>
  </si>
  <si>
    <t>VICI</t>
  </si>
  <si>
    <t>WAPO</t>
  </si>
  <si>
    <t>WICO</t>
  </si>
  <si>
    <t>WIIM</t>
  </si>
  <si>
    <t>WINE</t>
  </si>
  <si>
    <t>WMPP</t>
  </si>
  <si>
    <t>WMUU</t>
  </si>
  <si>
    <t>YUPI</t>
  </si>
  <si>
    <t xml:space="preserve">:  IDXCYCLIC</t>
  </si>
  <si>
    <t>ABBA</t>
  </si>
  <si>
    <t>ACES</t>
  </si>
  <si>
    <t>ACRO</t>
  </si>
  <si>
    <t>AKKU</t>
  </si>
  <si>
    <t>ARGO</t>
  </si>
  <si>
    <t>ARTA</t>
  </si>
  <si>
    <t>ASLC</t>
  </si>
  <si>
    <t>AUTO</t>
  </si>
  <si>
    <t>BABY</t>
  </si>
  <si>
    <t>BAIK</t>
  </si>
  <si>
    <t>BATA</t>
  </si>
  <si>
    <t>BAUT</t>
  </si>
  <si>
    <t>BAYU</t>
  </si>
  <si>
    <t>BELL</t>
  </si>
  <si>
    <t>BIKE</t>
  </si>
  <si>
    <t>BIMA</t>
  </si>
  <si>
    <t>BLTZ</t>
  </si>
  <si>
    <t>BMTR</t>
  </si>
  <si>
    <t>BOGA</t>
  </si>
  <si>
    <t>BOLA</t>
  </si>
  <si>
    <t>BOLT</t>
  </si>
  <si>
    <t>BRAM</t>
  </si>
  <si>
    <t>BUVA</t>
  </si>
  <si>
    <t>CARS</t>
  </si>
  <si>
    <t>CBMF</t>
  </si>
  <si>
    <t>CINT</t>
  </si>
  <si>
    <t>CLAY</t>
  </si>
  <si>
    <t>CNMA</t>
  </si>
  <si>
    <t>CNTX</t>
  </si>
  <si>
    <t>CSAP</t>
  </si>
  <si>
    <t>CSMI</t>
  </si>
  <si>
    <t>DEPO</t>
  </si>
  <si>
    <t>DFAM</t>
  </si>
  <si>
    <t>DIGI</t>
  </si>
  <si>
    <t>DOOH</t>
  </si>
  <si>
    <t>DOSS</t>
  </si>
  <si>
    <t>DRMA</t>
  </si>
  <si>
    <t>DUCK</t>
  </si>
  <si>
    <t>EAST</t>
  </si>
  <si>
    <t>ECII</t>
  </si>
  <si>
    <t>ENAK</t>
  </si>
  <si>
    <t>ERAA</t>
  </si>
  <si>
    <t>ERAL</t>
  </si>
  <si>
    <t>ERTX</t>
  </si>
  <si>
    <t>ESTA</t>
  </si>
  <si>
    <t>ESTI</t>
  </si>
  <si>
    <t>FAST</t>
  </si>
  <si>
    <t>FILM</t>
  </si>
  <si>
    <t>FITT</t>
  </si>
  <si>
    <t>FORU</t>
  </si>
  <si>
    <t>FUTR</t>
  </si>
  <si>
    <t>GDYR</t>
  </si>
  <si>
    <t>GEMA</t>
  </si>
  <si>
    <t>GJTL</t>
  </si>
  <si>
    <t>GLOB</t>
  </si>
  <si>
    <t>GOLF</t>
  </si>
  <si>
    <t>GRPH</t>
  </si>
  <si>
    <t>GWSA</t>
  </si>
  <si>
    <t>HOME</t>
  </si>
  <si>
    <t>HOTL</t>
  </si>
  <si>
    <t>HRME</t>
  </si>
  <si>
    <t>HRTA</t>
  </si>
  <si>
    <t>IIKP</t>
  </si>
  <si>
    <t>IMAS</t>
  </si>
  <si>
    <t>INDR</t>
  </si>
  <si>
    <t>INDS</t>
  </si>
  <si>
    <t>INOV</t>
  </si>
  <si>
    <t>IPTV</t>
  </si>
  <si>
    <t>JGLE</t>
  </si>
  <si>
    <t>JIHD</t>
  </si>
  <si>
    <t>JSPT</t>
  </si>
  <si>
    <t>KAQI</t>
  </si>
  <si>
    <t>KDTN</t>
  </si>
  <si>
    <t>KICI</t>
  </si>
  <si>
    <t>KOTA</t>
  </si>
  <si>
    <t>KPIG</t>
  </si>
  <si>
    <t>LIVE</t>
  </si>
  <si>
    <t>LMPI</t>
  </si>
  <si>
    <t>LPIN</t>
  </si>
  <si>
    <t>LPPF</t>
  </si>
  <si>
    <t>MABA</t>
  </si>
  <si>
    <t>MAPA</t>
  </si>
  <si>
    <t>MAPB</t>
  </si>
  <si>
    <t>MAPI</t>
  </si>
  <si>
    <t>MARI</t>
  </si>
  <si>
    <t>MDIA</t>
  </si>
  <si>
    <t>MDIY</t>
  </si>
  <si>
    <t>MERI</t>
  </si>
  <si>
    <t>MGNA</t>
  </si>
  <si>
    <t>MICE</t>
  </si>
  <si>
    <t>MINA</t>
  </si>
  <si>
    <t>MKNT</t>
  </si>
  <si>
    <t>MNCN</t>
  </si>
  <si>
    <t>MPMX</t>
  </si>
  <si>
    <t>MSIN</t>
  </si>
  <si>
    <t>MSKY</t>
  </si>
  <si>
    <t>MYTX</t>
  </si>
  <si>
    <t>NATO</t>
  </si>
  <si>
    <t>NETV</t>
  </si>
  <si>
    <t>NUSA</t>
  </si>
  <si>
    <t>PANR</t>
  </si>
  <si>
    <t>PART</t>
  </si>
  <si>
    <t>PBRX</t>
  </si>
  <si>
    <t>PDES</t>
  </si>
  <si>
    <t>PGLI</t>
  </si>
  <si>
    <t>PJAA</t>
  </si>
  <si>
    <t>PMJS</t>
  </si>
  <si>
    <t>PMUI</t>
  </si>
  <si>
    <t>PNSE</t>
  </si>
  <si>
    <t>POLU</t>
  </si>
  <si>
    <t>POLY</t>
  </si>
  <si>
    <t>PSKT</t>
  </si>
  <si>
    <t>PTSP</t>
  </si>
  <si>
    <t>PZZA</t>
  </si>
  <si>
    <t>RAAM</t>
  </si>
  <si>
    <t>RAFI</t>
  </si>
  <si>
    <t>RALS</t>
  </si>
  <si>
    <t>RICY</t>
  </si>
  <si>
    <t>SBAT</t>
  </si>
  <si>
    <t>SCMA</t>
  </si>
  <si>
    <t>SCNP</t>
  </si>
  <si>
    <t>SHID</t>
  </si>
  <si>
    <t>SLIS</t>
  </si>
  <si>
    <t>SMSM</t>
  </si>
  <si>
    <t>SNLK</t>
  </si>
  <si>
    <t>SONA</t>
  </si>
  <si>
    <t>SOTS</t>
  </si>
  <si>
    <t>SRIL</t>
  </si>
  <si>
    <t>SSTM</t>
  </si>
  <si>
    <t>SWID</t>
  </si>
  <si>
    <t>TELE</t>
  </si>
  <si>
    <t>TFCO</t>
  </si>
  <si>
    <t>TMPO</t>
  </si>
  <si>
    <t>TOOL</t>
  </si>
  <si>
    <t>TOYS</t>
  </si>
  <si>
    <t>TRIO</t>
  </si>
  <si>
    <t>TRIS</t>
  </si>
  <si>
    <t>TYRE</t>
  </si>
  <si>
    <t>UFOE</t>
  </si>
  <si>
    <t>UNIT</t>
  </si>
  <si>
    <t>UNTD</t>
  </si>
  <si>
    <t>VERN</t>
  </si>
  <si>
    <t>VIVA</t>
  </si>
  <si>
    <t>VKTR</t>
  </si>
  <si>
    <t>WOOD</t>
  </si>
  <si>
    <t>YELO</t>
  </si>
  <si>
    <t>ZATA</t>
  </si>
  <si>
    <t>ZONE</t>
  </si>
  <si>
    <t xml:space="preserve">:  IDXHEALTH</t>
  </si>
  <si>
    <t>BMHS</t>
  </si>
  <si>
    <t>CARE</t>
  </si>
  <si>
    <t>CHEK</t>
  </si>
  <si>
    <t>DGNS</t>
  </si>
  <si>
    <t>DKHH</t>
  </si>
  <si>
    <t>DVLA</t>
  </si>
  <si>
    <t>HALO</t>
  </si>
  <si>
    <t>HEAL</t>
  </si>
  <si>
    <t>IKPM</t>
  </si>
  <si>
    <t>INAF</t>
  </si>
  <si>
    <t>IRRA</t>
  </si>
  <si>
    <t>KAEF</t>
  </si>
  <si>
    <t>KLBF</t>
  </si>
  <si>
    <t>LABS</t>
  </si>
  <si>
    <t>MDLA</t>
  </si>
  <si>
    <t>MEDS</t>
  </si>
  <si>
    <t>MERK</t>
  </si>
  <si>
    <t>MIKA</t>
  </si>
  <si>
    <t>MMIX</t>
  </si>
  <si>
    <t>MTMH</t>
  </si>
  <si>
    <t>OBAT</t>
  </si>
  <si>
    <t>OMED</t>
  </si>
  <si>
    <t>PEHA</t>
  </si>
  <si>
    <t>PEVE</t>
  </si>
  <si>
    <t>PRAY</t>
  </si>
  <si>
    <t>PRDA</t>
  </si>
  <si>
    <t>PRIM</t>
  </si>
  <si>
    <t>PYFA</t>
  </si>
  <si>
    <t>RSCH</t>
  </si>
  <si>
    <t>RSGK</t>
  </si>
  <si>
    <t>SAME</t>
  </si>
  <si>
    <t>SCPI</t>
  </si>
  <si>
    <t>SIDO</t>
  </si>
  <si>
    <t>SILO</t>
  </si>
  <si>
    <t>SOHO</t>
  </si>
  <si>
    <t>SRAJ</t>
  </si>
  <si>
    <t>SURI</t>
  </si>
  <si>
    <t>TSPC</t>
  </si>
  <si>
    <t xml:space="preserve">:  IDXFINANCE</t>
  </si>
  <si>
    <t>ABDA</t>
  </si>
  <si>
    <t>ADMF</t>
  </si>
  <si>
    <t>AGRO</t>
  </si>
  <si>
    <t>AGRS</t>
  </si>
  <si>
    <t>AHAP</t>
  </si>
  <si>
    <t>AMAG</t>
  </si>
  <si>
    <t>AMAR</t>
  </si>
  <si>
    <t>AMOR</t>
  </si>
  <si>
    <t>APIC</t>
  </si>
  <si>
    <t>ARTO</t>
  </si>
  <si>
    <t>ASBI</t>
  </si>
  <si>
    <t>ASDM</t>
  </si>
  <si>
    <t>ASJT</t>
  </si>
  <si>
    <t>ASMI</t>
  </si>
  <si>
    <t>ASRM</t>
  </si>
  <si>
    <t>BABP</t>
  </si>
  <si>
    <t>BACA</t>
  </si>
  <si>
    <t>BANK</t>
  </si>
  <si>
    <t>BBCA</t>
  </si>
  <si>
    <t>BBHI</t>
  </si>
  <si>
    <t>BBKP</t>
  </si>
  <si>
    <t>BBLD</t>
  </si>
  <si>
    <t>BBMD</t>
  </si>
  <si>
    <t>BBNI</t>
  </si>
  <si>
    <t>BBRI</t>
  </si>
  <si>
    <t>BBSI</t>
  </si>
  <si>
    <t>BBTN</t>
  </si>
  <si>
    <t>BBYB</t>
  </si>
  <si>
    <t>BCAP</t>
  </si>
  <si>
    <t>BCIC</t>
  </si>
  <si>
    <t>BDMN</t>
  </si>
  <si>
    <t>BEKS</t>
  </si>
  <si>
    <t>BFIN</t>
  </si>
  <si>
    <t>BGTG</t>
  </si>
  <si>
    <t>BHAT</t>
  </si>
  <si>
    <t>BINA</t>
  </si>
  <si>
    <t>BJBR</t>
  </si>
  <si>
    <t>BJTM</t>
  </si>
  <si>
    <t>BKSW</t>
  </si>
  <si>
    <t>BMAS</t>
  </si>
  <si>
    <t>BMRI</t>
  </si>
  <si>
    <t>BNBA</t>
  </si>
  <si>
    <t>BNGA</t>
  </si>
  <si>
    <t>BNII</t>
  </si>
  <si>
    <t>BNLI</t>
  </si>
  <si>
    <t>BPFI</t>
  </si>
  <si>
    <t>BPII</t>
  </si>
  <si>
    <t>BRIS</t>
  </si>
  <si>
    <t>BSIM</t>
  </si>
  <si>
    <t>BSWD</t>
  </si>
  <si>
    <t>BTPN</t>
  </si>
  <si>
    <t>BTPS</t>
  </si>
  <si>
    <t>BVIC</t>
  </si>
  <si>
    <t>CASA</t>
  </si>
  <si>
    <t>CFIN</t>
  </si>
  <si>
    <t>COIN</t>
  </si>
  <si>
    <t>DEFI</t>
  </si>
  <si>
    <t>DNAR</t>
  </si>
  <si>
    <t>DNET</t>
  </si>
  <si>
    <t>FUJI</t>
  </si>
  <si>
    <t>GSMF</t>
  </si>
  <si>
    <t>HDFA</t>
  </si>
  <si>
    <t>INPC</t>
  </si>
  <si>
    <t>JMAS</t>
  </si>
  <si>
    <t>LIFE</t>
  </si>
  <si>
    <t>LPGI</t>
  </si>
  <si>
    <t>LPPS</t>
  </si>
  <si>
    <t>MASB</t>
  </si>
  <si>
    <t>MAYA</t>
  </si>
  <si>
    <t>MCOR</t>
  </si>
  <si>
    <t>MEGA</t>
  </si>
  <si>
    <t>MREI</t>
  </si>
  <si>
    <t>MTWI</t>
  </si>
  <si>
    <t>NICK</t>
  </si>
  <si>
    <t>NISP</t>
  </si>
  <si>
    <t>NOBU</t>
  </si>
  <si>
    <t>OCAP</t>
  </si>
  <si>
    <t>PADI</t>
  </si>
  <si>
    <t>PALM</t>
  </si>
  <si>
    <t>PANS</t>
  </si>
  <si>
    <t>PEGE</t>
  </si>
  <si>
    <t>PLAS</t>
  </si>
  <si>
    <t>PNBN</t>
  </si>
  <si>
    <t>PNBS</t>
  </si>
  <si>
    <t>PNIN</t>
  </si>
  <si>
    <t>PNLF</t>
  </si>
  <si>
    <t>POLA</t>
  </si>
  <si>
    <t>POOL</t>
  </si>
  <si>
    <t>RELI</t>
  </si>
  <si>
    <t>SDRA</t>
  </si>
  <si>
    <t>SFAN</t>
  </si>
  <si>
    <t>SMMA</t>
  </si>
  <si>
    <t>SRTG</t>
  </si>
  <si>
    <t>STAR</t>
  </si>
  <si>
    <t>SUPA</t>
  </si>
  <si>
    <t>TIFA</t>
  </si>
  <si>
    <t>TRIM</t>
  </si>
  <si>
    <t>TRUS</t>
  </si>
  <si>
    <t>TUGU</t>
  </si>
  <si>
    <t>VICO</t>
  </si>
  <si>
    <t>VINS</t>
  </si>
  <si>
    <t>VRNA</t>
  </si>
  <si>
    <t>VTNY</t>
  </si>
  <si>
    <t>WOMF</t>
  </si>
  <si>
    <t>YOII</t>
  </si>
  <si>
    <t>YULE</t>
  </si>
  <si>
    <t xml:space="preserve">:  IDXPROPERT</t>
  </si>
  <si>
    <t>ADCP</t>
  </si>
  <si>
    <t>AMAN</t>
  </si>
  <si>
    <t>APLN</t>
  </si>
  <si>
    <t>ARMY</t>
  </si>
  <si>
    <t>ASPI</t>
  </si>
  <si>
    <t>ASRI</t>
  </si>
  <si>
    <t>ATAP</t>
  </si>
  <si>
    <t>BAPA</t>
  </si>
  <si>
    <t>BAPI</t>
  </si>
  <si>
    <t>BBSS</t>
  </si>
  <si>
    <t>BCIP</t>
  </si>
  <si>
    <t>BEST</t>
  </si>
  <si>
    <t>BIKA</t>
  </si>
  <si>
    <t>BIPP</t>
  </si>
  <si>
    <t>BKDP</t>
  </si>
  <si>
    <t>BKSL</t>
  </si>
  <si>
    <t>BSBK</t>
  </si>
  <si>
    <t>BSDE</t>
  </si>
  <si>
    <t>CBDK</t>
  </si>
  <si>
    <t>CBPE</t>
  </si>
  <si>
    <t>CITY</t>
  </si>
  <si>
    <t>COWL</t>
  </si>
  <si>
    <t>CPRI</t>
  </si>
  <si>
    <t>CSIS</t>
  </si>
  <si>
    <t>CTRA</t>
  </si>
  <si>
    <t>DADA</t>
  </si>
  <si>
    <t>DART</t>
  </si>
  <si>
    <t>DILD</t>
  </si>
  <si>
    <t>DMAS</t>
  </si>
  <si>
    <t>DUTI</t>
  </si>
  <si>
    <t>ELTY</t>
  </si>
  <si>
    <t>EMDE</t>
  </si>
  <si>
    <t>FMII</t>
  </si>
  <si>
    <t>GAMA</t>
  </si>
  <si>
    <t>GMTD</t>
  </si>
  <si>
    <t>GPRA</t>
  </si>
  <si>
    <t>GRIA</t>
  </si>
  <si>
    <t>HOMI</t>
  </si>
  <si>
    <t>INDO</t>
  </si>
  <si>
    <t>INPP</t>
  </si>
  <si>
    <t>JRPT</t>
  </si>
  <si>
    <t>KBAG</t>
  </si>
  <si>
    <t>KIJA</t>
  </si>
  <si>
    <t>KOCI</t>
  </si>
  <si>
    <t>KSIX</t>
  </si>
  <si>
    <t>LAND</t>
  </si>
  <si>
    <t>LCGP</t>
  </si>
  <si>
    <t>LPCK</t>
  </si>
  <si>
    <t>LPKR</t>
  </si>
  <si>
    <t>LPLI</t>
  </si>
  <si>
    <t>MDLN</t>
  </si>
  <si>
    <t>MKPI</t>
  </si>
  <si>
    <t>MMLP</t>
  </si>
  <si>
    <t>MPRO</t>
  </si>
  <si>
    <t>MTLA</t>
  </si>
  <si>
    <t>MTSM</t>
  </si>
  <si>
    <t>NASA</t>
  </si>
  <si>
    <t>NIRO</t>
  </si>
  <si>
    <t>NZIA</t>
  </si>
  <si>
    <t>OMRE</t>
  </si>
  <si>
    <t>PAMG</t>
  </si>
  <si>
    <t>PANI</t>
  </si>
  <si>
    <t>PLIN</t>
  </si>
  <si>
    <t>POLI</t>
  </si>
  <si>
    <t>POLL</t>
  </si>
  <si>
    <t>POSA</t>
  </si>
  <si>
    <t>PPRO</t>
  </si>
  <si>
    <t>PUDP</t>
  </si>
  <si>
    <t>PURI</t>
  </si>
  <si>
    <t>PWON</t>
  </si>
  <si>
    <t>RBMS</t>
  </si>
  <si>
    <t>RDTX</t>
  </si>
  <si>
    <t>REAL</t>
  </si>
  <si>
    <t>RIMO</t>
  </si>
  <si>
    <t>RISE</t>
  </si>
  <si>
    <t>ROCK</t>
  </si>
  <si>
    <t>RODA</t>
  </si>
  <si>
    <t>SAGE</t>
  </si>
  <si>
    <t>SATU</t>
  </si>
  <si>
    <t>SMDM</t>
  </si>
  <si>
    <t>SMRA</t>
  </si>
  <si>
    <t>TARA</t>
  </si>
  <si>
    <t>TRIN</t>
  </si>
  <si>
    <t>TRUE</t>
  </si>
  <si>
    <t>UANG</t>
  </si>
  <si>
    <t>URBN</t>
  </si>
  <si>
    <t>VAST</t>
  </si>
  <si>
    <t>WINR</t>
  </si>
  <si>
    <t xml:space="preserve">:  IDXTECHNO</t>
  </si>
  <si>
    <t xml:space="preserve">Pasca Evaluasi *
(25% Cap)</t>
  </si>
  <si>
    <t>AREA</t>
  </si>
  <si>
    <t>ATIC</t>
  </si>
  <si>
    <t>AWAN</t>
  </si>
  <si>
    <t>AXIO</t>
  </si>
  <si>
    <t>BELI</t>
  </si>
  <si>
    <t>BUKA</t>
  </si>
  <si>
    <t>CYBR</t>
  </si>
  <si>
    <t>DCII</t>
  </si>
  <si>
    <t>DIVA</t>
  </si>
  <si>
    <t>DMMX</t>
  </si>
  <si>
    <t>EDGE</t>
  </si>
  <si>
    <t>ELIT</t>
  </si>
  <si>
    <t>EMTK</t>
  </si>
  <si>
    <t>ENVY</t>
  </si>
  <si>
    <t>GLVA</t>
  </si>
  <si>
    <t>GOTO</t>
  </si>
  <si>
    <t>HDIT</t>
  </si>
  <si>
    <t>IOTF</t>
  </si>
  <si>
    <t>IRSX</t>
  </si>
  <si>
    <t>JATI</t>
  </si>
  <si>
    <t>KIOS</t>
  </si>
  <si>
    <t>KREN</t>
  </si>
  <si>
    <t>LMAS</t>
  </si>
  <si>
    <t>LUCK</t>
  </si>
  <si>
    <t>MCAS</t>
  </si>
  <si>
    <t>MLPT</t>
  </si>
  <si>
    <t>MPIX</t>
  </si>
  <si>
    <t>MSTI</t>
  </si>
  <si>
    <t>MTDL</t>
  </si>
  <si>
    <t>NFCX</t>
  </si>
  <si>
    <t>PTSN</t>
  </si>
  <si>
    <t>SKYB</t>
  </si>
  <si>
    <t>TECH</t>
  </si>
  <si>
    <t>TFAS</t>
  </si>
  <si>
    <t>TOSK</t>
  </si>
  <si>
    <t>TRON</t>
  </si>
  <si>
    <t>UVCR</t>
  </si>
  <si>
    <t>WIFI</t>
  </si>
  <si>
    <t>WIRG</t>
  </si>
  <si>
    <t>ZYRX</t>
  </si>
  <si>
    <t xml:space="preserve">:  IDXINFRA</t>
  </si>
  <si>
    <t>ACST</t>
  </si>
  <si>
    <t>ADHI</t>
  </si>
  <si>
    <t>ARKO</t>
  </si>
  <si>
    <t>ASLI</t>
  </si>
  <si>
    <t>BALI</t>
  </si>
  <si>
    <t>BDKR</t>
  </si>
  <si>
    <t>BREN</t>
  </si>
  <si>
    <t>BTEL</t>
  </si>
  <si>
    <t>BUKK</t>
  </si>
  <si>
    <t>CASS</t>
  </si>
  <si>
    <t>CDIA</t>
  </si>
  <si>
    <t>CENT</t>
  </si>
  <si>
    <t>CMNP</t>
  </si>
  <si>
    <t>DATA</t>
  </si>
  <si>
    <t>DGIK</t>
  </si>
  <si>
    <t>EXCL</t>
  </si>
  <si>
    <t>GHON</t>
  </si>
  <si>
    <t>GMFI</t>
  </si>
  <si>
    <t>GOLD</t>
  </si>
  <si>
    <t>HADE</t>
  </si>
  <si>
    <t>HGII</t>
  </si>
  <si>
    <t>IBST</t>
  </si>
  <si>
    <t>IDPR</t>
  </si>
  <si>
    <t>INET</t>
  </si>
  <si>
    <t>IPCC</t>
  </si>
  <si>
    <t>IPCM</t>
  </si>
  <si>
    <t>ISAT</t>
  </si>
  <si>
    <t>JAST</t>
  </si>
  <si>
    <t>JKON</t>
  </si>
  <si>
    <t>JSMR</t>
  </si>
  <si>
    <t>KARW</t>
  </si>
  <si>
    <t>KBLV</t>
  </si>
  <si>
    <t>KEEN</t>
  </si>
  <si>
    <t>KETR</t>
  </si>
  <si>
    <t>KOKA</t>
  </si>
  <si>
    <t>KRYA</t>
  </si>
  <si>
    <t>LCKM</t>
  </si>
  <si>
    <t>LINK</t>
  </si>
  <si>
    <t>META</t>
  </si>
  <si>
    <t>MORA</t>
  </si>
  <si>
    <t>MPOW</t>
  </si>
  <si>
    <t>MTEL</t>
  </si>
  <si>
    <t>MTPS</t>
  </si>
  <si>
    <t>MTRA</t>
  </si>
  <si>
    <t>NRCA</t>
  </si>
  <si>
    <t>OASA</t>
  </si>
  <si>
    <t>PBSA</t>
  </si>
  <si>
    <t>PGEO</t>
  </si>
  <si>
    <t>PORT</t>
  </si>
  <si>
    <t>POWR</t>
  </si>
  <si>
    <t>PPRE</t>
  </si>
  <si>
    <t>PTDU</t>
  </si>
  <si>
    <t>PTPP</t>
  </si>
  <si>
    <t>PTPW</t>
  </si>
  <si>
    <t>RONY</t>
  </si>
  <si>
    <t>SSIA</t>
  </si>
  <si>
    <t>SUPR</t>
  </si>
  <si>
    <t>TAMA</t>
  </si>
  <si>
    <t>TBIG</t>
  </si>
  <si>
    <t>TGRA</t>
  </si>
  <si>
    <t>TLKM</t>
  </si>
  <si>
    <t>TOPS</t>
  </si>
  <si>
    <t>TOTL</t>
  </si>
  <si>
    <t>TOWR</t>
  </si>
  <si>
    <t>WEGE</t>
  </si>
  <si>
    <t>WIKA</t>
  </si>
  <si>
    <t>WSKT</t>
  </si>
  <si>
    <t xml:space="preserve">:  IDXTRANS</t>
  </si>
  <si>
    <t xml:space="preserve">Pasca Evaluasi *
(15% Cap)</t>
  </si>
  <si>
    <t>AKSI</t>
  </si>
  <si>
    <t>ASSA</t>
  </si>
  <si>
    <t>BIRD</t>
  </si>
  <si>
    <t>BLOG</t>
  </si>
  <si>
    <t>BLTA</t>
  </si>
  <si>
    <t>BPTR</t>
  </si>
  <si>
    <t>CMPP</t>
  </si>
  <si>
    <t>DEAL</t>
  </si>
  <si>
    <t>ELPI</t>
  </si>
  <si>
    <t>GIAA</t>
  </si>
  <si>
    <t>GTRA</t>
  </si>
  <si>
    <t>HAIS</t>
  </si>
  <si>
    <t>HATM</t>
  </si>
  <si>
    <t>HELI</t>
  </si>
  <si>
    <t>IMJS</t>
  </si>
  <si>
    <t>JAYA</t>
  </si>
  <si>
    <t>KJEN</t>
  </si>
  <si>
    <t>KLAS</t>
  </si>
  <si>
    <t>LAJU</t>
  </si>
  <si>
    <t>LRNA</t>
  </si>
  <si>
    <t>MIRA</t>
  </si>
  <si>
    <t>MITI</t>
  </si>
  <si>
    <t>MPXL</t>
  </si>
  <si>
    <t>NELY</t>
  </si>
  <si>
    <t>PJHB</t>
  </si>
  <si>
    <t>PURA</t>
  </si>
  <si>
    <t>SAFE</t>
  </si>
  <si>
    <t>SAPX</t>
  </si>
  <si>
    <t>SDMU</t>
  </si>
  <si>
    <t>SMDR</t>
  </si>
  <si>
    <t>TAXI</t>
  </si>
  <si>
    <t>TMAS</t>
  </si>
  <si>
    <t>TNCA</t>
  </si>
  <si>
    <t>TRJA</t>
  </si>
  <si>
    <t>TRUK</t>
  </si>
  <si>
    <t>WEHA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</si>
</sst>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12">
    <font>
      <sz val="11"/>
      <color theme="1"/>
      <name val="Calibri"/>
      <family val="2"/>
      <scheme val="minor"/>
    </font>
    <font>
      <sz val="11"/>
      <color theme="1"/>
      <name val="Calibri"/>
      <family val="2"/>
      <scheme val="minor"/>
    </font>
    <font>
      <sz val="10"/>
      <color theme="1"/>
      <name val="Times New Roman"/>
      <family val="1"/>
    </font>
    <font>
      <sz val="10"/>
      <name val="Times New Roman"/>
      <family val="1"/>
    </font>
    <font>
      <b/>
      <sz val="10"/>
      <name val="Times New Roman"/>
      <family val="1"/>
    </font>
    <font>
      <b/>
      <sz val="11"/>
      <color theme="1"/>
      <name val="Calibri"/>
      <family val="2"/>
      <scheme val="minor"/>
    </font>
    <font>
      <sz val="11"/>
      <name val="Calibri"/>
      <family val="2"/>
      <scheme val="minor"/>
    </font>
    <font>
      <b/>
      <sz val="11"/>
      <name val="Calibri"/>
      <family val="2"/>
      <scheme val="minor"/>
    </font>
    <font>
      <b/>
      <sz val="10"/>
      <color theme="1"/>
      <name val="Times New Roman"/>
      <family val="1"/>
    </font>
    <font>
      <b/>
      <sz val="9"/>
      <color theme="1"/>
      <name val="Times New Roman"/>
      <family val="1"/>
    </font>
    <font>
      <sz val="10"/>
      <color rgb="FF000000"/>
      <name val="Times New Roman"/>
      <family val="1"/>
    </font>
    <font>
      <b/>
      <sz val="10"/>
      <color rgb="FF000000"/>
      <name val="Times New Roman"/>
      <family val="1"/>
    </font>
  </fonts>
  <fills count="3">
    <fill>
      <patternFill patternType="none"/>
    </fill>
    <fill>
      <patternFill patternType="gray125"/>
    </fill>
    <fill>
      <patternFill patternType="solid">
        <fgColor rgb="FFD9D9D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1" fillId="0" borderId="0"/>
  </cellStyleXfs>
  <cellXfs count="38">
    <xf numFmtId="0" applyNumberFormat="1" fontId="0" applyFont="1" fillId="0" applyFill="1" borderId="0" applyBorder="1" xfId="0" applyProtection="1"/>
    <xf numFmtId="9" applyNumberFormat="1" fontId="1" applyFont="1" fillId="0" applyFill="1" borderId="0" applyBorder="1" xfId="1" applyProtection="1"/>
    <xf numFmtId="0" applyNumberFormat="1" fontId="2" applyFont="1" fillId="0" applyFill="1" borderId="0" applyBorder="1" xfId="0" applyProtection="1"/>
    <xf numFmtId="0" applyNumberFormat="1" fontId="3" applyFont="1" fillId="0" applyFill="1" borderId="0" applyBorder="1" xfId="0" applyProtection="1"/>
    <xf numFmtId="0" applyNumberFormat="1" fontId="5" applyFont="1" fillId="0" applyFill="1" borderId="0" applyBorder="1" xfId="0" applyProtection="1"/>
    <xf numFmtId="0" applyNumberFormat="1" fontId="3" applyFont="1" fillId="0" applyFill="1" borderId="0" applyBorder="1" xfId="0" applyProtection="1" applyAlignment="1">
      <alignment vertical="center"/>
    </xf>
    <xf numFmtId="0" applyNumberFormat="1" fontId="6" applyFont="1" fillId="0" applyFill="1" borderId="0" applyBorder="1" xfId="0" applyProtection="1"/>
    <xf numFmtId="0" applyNumberFormat="1" fontId="7" applyFont="1" fillId="0" applyFill="1" borderId="0" applyBorder="1" xfId="0" applyProtection="1"/>
    <xf numFmtId="10" applyNumberFormat="1" fontId="3" applyFont="1" fillId="0" applyFill="1" borderId="0" applyBorder="1" xfId="1" applyProtection="1" applyAlignment="1">
      <alignment horizontal="center" vertical="center" wrapText="1"/>
    </xf>
    <xf numFmtId="0" applyNumberFormat="1" fontId="3" applyFont="1" fillId="0" applyFill="1" borderId="0" applyBorder="1" xfId="0" applyProtection="1" applyAlignment="1">
      <alignment horizontal="center" vertical="center" wrapText="1"/>
    </xf>
    <xf numFmtId="0" applyNumberFormat="1" fontId="3" applyFont="1" fillId="0" applyFill="1" borderId="0" applyBorder="1" xfId="0" applyProtection="1" applyAlignment="1">
      <alignment vertical="center" wrapText="1"/>
    </xf>
    <xf numFmtId="3" applyNumberFormat="1" fontId="3" applyFont="1" fillId="0" applyFill="1" borderId="0" applyBorder="1" xfId="0" applyProtection="1" applyAlignment="1">
      <alignment horizontal="right" vertical="center" wrapText="1"/>
    </xf>
    <xf numFmtId="0" applyNumberFormat="1" fontId="4" applyFont="1" fillId="0" applyFill="1" borderId="0" applyBorder="1" xfId="0" applyProtection="1" applyAlignment="1">
      <alignment horizontal="left" vertical="center"/>
    </xf>
    <xf numFmtId="0" applyNumberFormat="1" fontId="8" applyFont="1" fillId="2" applyFill="1" borderId="1" applyBorder="1" xfId="0" applyProtection="1" applyAlignment="1">
      <alignment horizontal="center" vertical="center" wrapText="1"/>
    </xf>
    <xf numFmtId="0" applyNumberFormat="1" fontId="2" applyFont="1" fillId="0" applyFill="1" borderId="1" applyBorder="1" xfId="0" applyProtection="1" applyAlignment="1">
      <alignment horizontal="center" vertical="center" wrapText="1"/>
    </xf>
    <xf numFmtId="3" applyNumberFormat="1" fontId="10" applyFont="1" fillId="0" applyFill="1" borderId="1" applyBorder="1" xfId="0" applyProtection="1" applyAlignment="1">
      <alignment horizontal="right" vertical="center" wrapText="1"/>
    </xf>
    <xf numFmtId="10" applyNumberFormat="1" fontId="10" applyFont="1" fillId="0" applyFill="1" borderId="1" applyBorder="1" xfId="1" applyProtection="1" applyAlignment="1">
      <alignment horizontal="right" vertical="center" wrapText="1"/>
    </xf>
    <xf numFmtId="0" applyNumberFormat="1" fontId="2" applyFont="1" fillId="0" applyFill="1" borderId="0" applyBorder="1" xfId="0" applyProtection="1" applyAlignment="1">
      <alignment horizontal="center" vertical="center" wrapText="1"/>
    </xf>
    <xf numFmtId="0" applyNumberFormat="1" fontId="10" applyFont="1" fillId="0" applyFill="1" borderId="0" applyBorder="1" xfId="0" applyProtection="1" applyAlignment="1">
      <alignment vertical="center" wrapText="1"/>
    </xf>
    <xf numFmtId="10" applyNumberFormat="1" fontId="10" applyFont="1" fillId="0" applyFill="1" borderId="0" applyBorder="1" xfId="1" applyProtection="1" applyAlignment="1">
      <alignment horizontal="center" vertical="center" wrapText="1"/>
    </xf>
    <xf numFmtId="3" applyNumberFormat="1" fontId="10" applyFont="1" fillId="0" applyFill="1" borderId="0" applyBorder="1" xfId="0" applyProtection="1" applyAlignment="1">
      <alignment horizontal="right" vertical="center" wrapText="1"/>
    </xf>
    <xf numFmtId="10" applyNumberFormat="1" fontId="10" applyFont="1" fillId="0" applyFill="1" borderId="0" applyBorder="1" xfId="1" applyProtection="1" applyAlignment="1">
      <alignment horizontal="right" vertical="center" wrapText="1"/>
    </xf>
    <xf numFmtId="0" applyNumberFormat="1" fontId="4" applyFont="1" fillId="0" applyFill="1" borderId="0" applyBorder="1" xfId="0" applyProtection="1" applyAlignment="1">
      <alignment vertical="center"/>
    </xf>
    <xf numFmtId="0" applyNumberFormat="1" fontId="10" applyFont="1" fillId="0" applyFill="1" borderId="1" applyBorder="1" xfId="0" applyProtection="1" applyAlignment="1">
      <alignment vertical="center" wrapText="1"/>
    </xf>
    <xf numFmtId="10" applyNumberFormat="1" fontId="10" applyFont="1" fillId="0" applyFill="1" borderId="1" applyBorder="1" xfId="1" applyProtection="1" applyAlignment="1">
      <alignment horizontal="center" vertical="center" wrapText="1"/>
    </xf>
    <xf numFmtId="0" applyNumberFormat="1" fontId="4" applyFont="1" fillId="2" applyFill="1" borderId="1" applyBorder="1" xfId="0" applyProtection="1" applyAlignment="1">
      <alignment horizontal="center" vertical="center" wrapText="1"/>
    </xf>
    <xf numFmtId="10" applyNumberFormat="1" fontId="3" applyFont="1" fillId="0" applyFill="1" borderId="0" applyBorder="1" xfId="0" applyProtection="1"/>
    <xf numFmtId="0" applyNumberFormat="1" fontId="11" applyFont="1" fillId="0" applyFill="1" borderId="0" applyBorder="1" xfId="0" applyProtection="1" applyAlignment="1">
      <alignment vertical="center"/>
    </xf>
    <xf numFmtId="0" applyNumberFormat="1" fontId="2" applyFont="1" fillId="0" applyFill="1" borderId="0" applyBorder="1" xfId="0" applyProtection="1" applyAlignment="1">
      <alignment vertical="center"/>
    </xf>
    <xf numFmtId="0" applyNumberFormat="1" fontId="8" applyFont="1" fillId="0" applyFill="1" borderId="0" applyBorder="1" xfId="0" applyProtection="1" applyAlignment="1">
      <alignment horizontal="left" vertical="center"/>
    </xf>
    <xf numFmtId="0" applyNumberFormat="1" fontId="2" applyFont="1" fillId="0" applyFill="1" borderId="6" applyBorder="1" xfId="0" applyProtection="1" applyAlignment="1">
      <alignment horizontal="left" vertical="center" wrapText="1"/>
    </xf>
    <xf numFmtId="0" applyNumberFormat="1" fontId="2" applyFont="1" fillId="0" applyFill="1" borderId="0" applyBorder="1" xfId="0" applyProtection="1" applyAlignment="1">
      <alignment horizontal="left" vertical="center" wrapText="1"/>
    </xf>
    <xf numFmtId="0" applyNumberFormat="1" fontId="4" applyFont="1" fillId="0" applyFill="1" borderId="0" applyBorder="1" xfId="0" applyProtection="1" applyAlignment="1">
      <alignment horizontal="left" vertical="center"/>
    </xf>
    <xf numFmtId="0" applyNumberFormat="1" fontId="8" applyFont="1" fillId="2" applyFill="1" borderId="1" applyBorder="1" xfId="0" applyProtection="1" applyAlignment="1">
      <alignment horizontal="center" vertical="center" wrapText="1"/>
    </xf>
    <xf numFmtId="0" applyNumberFormat="1" fontId="9" applyFont="1" fillId="2" applyFill="1" borderId="2" applyBorder="1" xfId="0" applyProtection="1" applyAlignment="1">
      <alignment horizontal="center" vertical="center" wrapText="1"/>
    </xf>
    <xf numFmtId="0" applyNumberFormat="1" fontId="9" applyFont="1" fillId="2" applyFill="1" borderId="3" applyBorder="1" xfId="0" applyProtection="1" applyAlignment="1">
      <alignment horizontal="center" vertical="center" wrapText="1"/>
    </xf>
    <xf numFmtId="0" applyNumberFormat="1" fontId="8" applyFont="1" fillId="2" applyFill="1" borderId="4" applyBorder="1" xfId="0" applyProtection="1" applyAlignment="1">
      <alignment horizontal="center" vertical="center" wrapText="1"/>
    </xf>
    <xf numFmtId="0" applyNumberFormat="1" fontId="8" applyFont="1" fillId="2" applyFill="1" borderId="5" applyBorder="1" xfId="0" applyProtection="1" applyAlignment="1">
      <alignment horizontal="center" vertical="center" wrapText="1"/>
    </xf>
  </cellXfs>
  <cellStyles count="2">
    <cellStyle name="Normal" xfId="0" builtinId="0"/>
    <cellStyle name="Percent" xfId="1" builtinId="5"/>
  </cellStyles>
  <dxfs count="26">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1" defaultTableStyle="TableStyleMedium2" defaultPivotStyle="PivotStyleLight16">
    <tableStyle name="Invisible" pivot="0" table="0" count="0" xr9:uid="{A6A00886-5AD4-4007-BB6F-AF625888793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9"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6D89-B771-43C3-B607-810B2E36B206}">
  <dimension ref="A2:J104"/>
  <sheetViews>
    <sheetView tabSelected="1" workbookViewId="0">
      <selection activeCell="E9" sqref="E9"/>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6384" width="8.81640625" customWidth="1" style="6"/>
  </cols>
  <sheetData>
    <row r="2">
      <c r="B2" s="27" t="s">
        <v>0</v>
      </c>
      <c r="C2" s="22"/>
      <c r="D2" s="22"/>
      <c r="E2" s="22"/>
      <c r="F2" s="22"/>
      <c r="G2" s="22"/>
      <c r="H2" s="22"/>
      <c r="I2" s="22"/>
    </row>
    <row r="3">
      <c r="B3" s="28" t="s">
        <v>1</v>
      </c>
      <c r="F3" s="12"/>
      <c r="G3" s="12" t="s">
        <v>2</v>
      </c>
      <c r="H3" s="12"/>
      <c r="I3" s="12"/>
    </row>
    <row r="4">
      <c r="B4" s="28" t="s">
        <v>3</v>
      </c>
      <c r="F4" s="12"/>
      <c r="G4" s="12" t="s">
        <v>4</v>
      </c>
      <c r="H4" s="12"/>
      <c r="I4" s="12"/>
    </row>
    <row r="5">
      <c r="B5" s="28" t="s">
        <v>5</v>
      </c>
      <c r="F5" s="12"/>
      <c r="G5" s="29" t="s">
        <v>6</v>
      </c>
      <c r="H5" s="12"/>
      <c r="I5" s="12"/>
    </row>
    <row r="6">
      <c r="B6" s="28" t="s">
        <v>7</v>
      </c>
      <c r="F6" s="12"/>
      <c r="G6" s="29" t="s">
        <v>6</v>
      </c>
      <c r="H6" s="12"/>
      <c r="I6" s="1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18</v>
      </c>
      <c r="D10" s="24">
        <v>0.1909</v>
      </c>
      <c r="E10" s="15">
        <v>1464714340</v>
      </c>
      <c r="F10" s="15">
        <v>1486517637</v>
      </c>
      <c r="G10" s="14" t="s">
        <v>19</v>
      </c>
      <c r="H10" s="16">
        <v>0.0506631085842067</v>
      </c>
      <c r="I10" s="16">
        <v>0.046729188176268956</v>
      </c>
      <c r="J10" s="14" t="s">
        <v>20</v>
      </c>
    </row>
    <row r="11">
      <c r="B11" s="14">
        <v>2</v>
      </c>
      <c r="C11" s="23" t="s">
        <v>21</v>
      </c>
      <c r="D11" s="24">
        <v>0.1503</v>
      </c>
      <c r="E11" s="15">
        <v>414626649</v>
      </c>
      <c r="F11" s="15">
        <v>413800700</v>
      </c>
      <c r="G11" s="14" t="s">
        <v>20</v>
      </c>
      <c r="H11" s="16">
        <v>0.00390755293915153</v>
      </c>
      <c r="I11" s="16">
        <v>0.003544199408811336</v>
      </c>
      <c r="J11" s="14" t="s">
        <v>20</v>
      </c>
    </row>
    <row r="12">
      <c r="B12" s="14">
        <v>3</v>
      </c>
      <c r="C12" s="23" t="s">
        <v>22</v>
      </c>
      <c r="D12" s="24">
        <v>0.1156</v>
      </c>
      <c r="E12" s="15">
        <v>4893615081</v>
      </c>
      <c r="F12" s="15">
        <v>4725997521</v>
      </c>
      <c r="G12" s="14" t="s">
        <v>20</v>
      </c>
      <c r="H12" s="16">
        <v>0.0306640580488491</v>
      </c>
      <c r="I12" s="16">
        <v>0.026913648840628763</v>
      </c>
      <c r="J12" s="14" t="s">
        <v>20</v>
      </c>
    </row>
    <row r="13">
      <c r="B13" s="14">
        <v>4</v>
      </c>
      <c r="C13" s="23" t="s">
        <v>23</v>
      </c>
      <c r="D13" s="24">
        <v>0.2867</v>
      </c>
      <c r="E13" s="15">
        <v>8426023951</v>
      </c>
      <c r="F13" s="15">
        <v>8426023951</v>
      </c>
      <c r="G13" s="14" t="s">
        <v>24</v>
      </c>
      <c r="H13" s="16">
        <v>0.0687085947107548</v>
      </c>
      <c r="I13" s="16">
        <v>0.062443945443879191</v>
      </c>
      <c r="J13" s="14" t="s">
        <v>20</v>
      </c>
    </row>
    <row r="14">
      <c r="B14" s="14">
        <v>5</v>
      </c>
      <c r="C14" s="23" t="s">
        <v>25</v>
      </c>
      <c r="D14" s="24">
        <v>0.3263</v>
      </c>
      <c r="E14" s="15">
        <v>71786000</v>
      </c>
      <c r="F14" s="15">
        <v>71786000</v>
      </c>
      <c r="G14" s="14" t="s">
        <v>24</v>
      </c>
      <c r="H14" s="16">
        <v>9.4042544672210009E-05</v>
      </c>
      <c r="I14" s="16">
        <v>8.54680197382877E-05</v>
      </c>
      <c r="J14" s="14" t="s">
        <v>24</v>
      </c>
    </row>
    <row r="15">
      <c r="B15" s="14">
        <v>6</v>
      </c>
      <c r="C15" s="23" t="s">
        <v>26</v>
      </c>
      <c r="D15" s="24">
        <v>0.3265</v>
      </c>
      <c r="E15" s="15">
        <v>6551982109</v>
      </c>
      <c r="F15" s="15">
        <v>6553989457</v>
      </c>
      <c r="G15" s="14" t="s">
        <v>19</v>
      </c>
      <c r="H15" s="16">
        <v>0.0281367790994441</v>
      </c>
      <c r="I15" s="16">
        <v>0.025579184007615649</v>
      </c>
      <c r="J15" s="14" t="s">
        <v>20</v>
      </c>
    </row>
    <row r="16">
      <c r="B16" s="14">
        <v>7</v>
      </c>
      <c r="C16" s="23" t="s">
        <v>27</v>
      </c>
      <c r="D16" s="24">
        <v>0.194</v>
      </c>
      <c r="E16" s="15">
        <v>3163577420</v>
      </c>
      <c r="F16" s="15">
        <v>3070205200</v>
      </c>
      <c r="G16" s="14" t="s">
        <v>20</v>
      </c>
      <c r="H16" s="16">
        <v>0.00724215122272327</v>
      </c>
      <c r="I16" s="16">
        <v>0.0063875717930483907</v>
      </c>
      <c r="J16" s="14" t="s">
        <v>20</v>
      </c>
    </row>
    <row r="17">
      <c r="B17" s="14">
        <v>8</v>
      </c>
      <c r="C17" s="23" t="s">
        <v>28</v>
      </c>
      <c r="D17" s="24">
        <v>0.3282</v>
      </c>
      <c r="E17" s="15">
        <v>1163950358</v>
      </c>
      <c r="F17" s="15">
        <v>1163950358</v>
      </c>
      <c r="G17" s="14" t="s">
        <v>24</v>
      </c>
      <c r="H17" s="16">
        <v>0.00066905443761604993</v>
      </c>
      <c r="I17" s="16">
        <v>0.00060805200546583274</v>
      </c>
      <c r="J17" s="14" t="s">
        <v>20</v>
      </c>
    </row>
    <row r="18" s="7" customFormat="1">
      <c r="B18" s="14">
        <v>9</v>
      </c>
      <c r="C18" s="23" t="s">
        <v>29</v>
      </c>
      <c r="D18" s="24">
        <v>0.4122</v>
      </c>
      <c r="E18" s="15">
        <v>1412542700</v>
      </c>
      <c r="F18" s="15">
        <v>1545750000</v>
      </c>
      <c r="G18" s="14" t="s">
        <v>19</v>
      </c>
      <c r="H18" s="16">
        <v>0.00127457060906014</v>
      </c>
      <c r="I18" s="16">
        <v>0.0012675959394839549</v>
      </c>
      <c r="J18" s="14" t="s">
        <v>24</v>
      </c>
    </row>
    <row r="19" s="7" customFormat="1">
      <c r="B19" s="14">
        <v>10</v>
      </c>
      <c r="C19" s="23" t="s">
        <v>30</v>
      </c>
      <c r="D19" s="24">
        <v>0.5207</v>
      </c>
      <c r="E19" s="15">
        <v>4082288000</v>
      </c>
      <c r="F19" s="15">
        <v>4082288000</v>
      </c>
      <c r="G19" s="14" t="s">
        <v>24</v>
      </c>
      <c r="H19" s="16">
        <v>2.728551695919E-05</v>
      </c>
      <c r="I19" s="16">
        <v>2.4797703105188424E-05</v>
      </c>
      <c r="J19" s="14" t="s">
        <v>24</v>
      </c>
    </row>
    <row r="20">
      <c r="B20" s="14">
        <v>11</v>
      </c>
      <c r="C20" s="23" t="s">
        <v>31</v>
      </c>
      <c r="D20" s="24">
        <v>0.3735</v>
      </c>
      <c r="E20" s="15">
        <v>2128315022</v>
      </c>
      <c r="F20" s="15">
        <v>2315542268</v>
      </c>
      <c r="G20" s="14" t="s">
        <v>19</v>
      </c>
      <c r="H20" s="16">
        <v>0.00035563497496557005</v>
      </c>
      <c r="I20" s="16">
        <v>0.00035164183478540874</v>
      </c>
      <c r="J20" s="14" t="s">
        <v>24</v>
      </c>
    </row>
    <row r="21">
      <c r="B21" s="14">
        <v>12</v>
      </c>
      <c r="C21" s="23" t="s">
        <v>32</v>
      </c>
      <c r="D21" s="24">
        <v>0.0894</v>
      </c>
      <c r="E21" s="15">
        <v>758066435</v>
      </c>
      <c r="F21" s="15">
        <v>758066435</v>
      </c>
      <c r="G21" s="14" t="s">
        <v>24</v>
      </c>
      <c r="H21" s="16">
        <v>0.00031920990822021</v>
      </c>
      <c r="I21" s="16">
        <v>0.00029010527993631358</v>
      </c>
      <c r="J21" s="14" t="s">
        <v>24</v>
      </c>
    </row>
    <row r="22">
      <c r="B22" s="14">
        <v>13</v>
      </c>
      <c r="C22" s="23" t="s">
        <v>33</v>
      </c>
      <c r="D22" s="24">
        <v>0.1545</v>
      </c>
      <c r="E22" s="15">
        <v>531550379</v>
      </c>
      <c r="F22" s="15">
        <v>531550379</v>
      </c>
      <c r="G22" s="14" t="s">
        <v>24</v>
      </c>
      <c r="H22" s="16">
        <v>0.0025136188378223202</v>
      </c>
      <c r="I22" s="16">
        <v>0.0022844344038654876</v>
      </c>
      <c r="J22" s="14" t="s">
        <v>20</v>
      </c>
    </row>
    <row r="23">
      <c r="B23" s="14">
        <v>14</v>
      </c>
      <c r="C23" s="23" t="s">
        <v>34</v>
      </c>
      <c r="D23" s="24">
        <v>0.5582</v>
      </c>
      <c r="E23" s="15">
        <v>35161657678</v>
      </c>
      <c r="F23" s="15">
        <v>35563031919</v>
      </c>
      <c r="G23" s="14" t="s">
        <v>19</v>
      </c>
      <c r="H23" s="16">
        <v>0.0229140841291524</v>
      </c>
      <c r="I23" s="16">
        <v>0.02106256269457683</v>
      </c>
      <c r="J23" s="14" t="s">
        <v>20</v>
      </c>
    </row>
    <row r="24">
      <c r="B24" s="14">
        <v>15</v>
      </c>
      <c r="C24" s="23" t="s">
        <v>35</v>
      </c>
      <c r="D24" s="24">
        <v>0.1801</v>
      </c>
      <c r="E24" s="15">
        <v>630652568</v>
      </c>
      <c r="F24" s="15">
        <v>630652568</v>
      </c>
      <c r="G24" s="14" t="s">
        <v>24</v>
      </c>
      <c r="H24" s="16">
        <v>0.00027398833376504</v>
      </c>
      <c r="I24" s="16">
        <v>0.00024900687662072406</v>
      </c>
      <c r="J24" s="14" t="s">
        <v>20</v>
      </c>
    </row>
    <row r="25">
      <c r="B25" s="14">
        <v>16</v>
      </c>
      <c r="C25" s="23" t="s">
        <v>36</v>
      </c>
      <c r="D25" s="24">
        <v>0.7114</v>
      </c>
      <c r="E25" s="15">
        <v>995960000</v>
      </c>
      <c r="F25" s="15">
        <v>995960000</v>
      </c>
      <c r="G25" s="14" t="s">
        <v>24</v>
      </c>
      <c r="H25" s="16">
        <v>0.00016642189055915998</v>
      </c>
      <c r="I25" s="16">
        <v>0.00015124802797256988</v>
      </c>
      <c r="J25" s="14" t="s">
        <v>24</v>
      </c>
    </row>
    <row r="26">
      <c r="B26" s="14">
        <v>17</v>
      </c>
      <c r="C26" s="23" t="s">
        <v>37</v>
      </c>
      <c r="D26" s="24">
        <v>0.2487</v>
      </c>
      <c r="E26" s="15">
        <v>587261415</v>
      </c>
      <c r="F26" s="15">
        <v>460150958</v>
      </c>
      <c r="G26" s="14" t="s">
        <v>20</v>
      </c>
      <c r="H26" s="16">
        <v>0.00063587979837557</v>
      </c>
      <c r="I26" s="16">
        <v>0.00045281745581884827</v>
      </c>
      <c r="J26" s="14" t="s">
        <v>20</v>
      </c>
    </row>
    <row r="27">
      <c r="B27" s="14">
        <v>18</v>
      </c>
      <c r="C27" s="23" t="s">
        <v>38</v>
      </c>
      <c r="D27" s="24">
        <v>0.0877</v>
      </c>
      <c r="E27" s="15">
        <v>229467050</v>
      </c>
      <c r="F27" s="15">
        <v>229467050</v>
      </c>
      <c r="G27" s="14" t="s">
        <v>24</v>
      </c>
      <c r="H27" s="16">
        <v>0.00304445381179313</v>
      </c>
      <c r="I27" s="16">
        <v>0.0027668693928434253</v>
      </c>
      <c r="J27" s="14" t="s">
        <v>20</v>
      </c>
    </row>
    <row r="28">
      <c r="B28" s="14">
        <v>19</v>
      </c>
      <c r="C28" s="23" t="s">
        <v>39</v>
      </c>
      <c r="D28" s="24">
        <v>0.6463</v>
      </c>
      <c r="E28" s="15">
        <v>9415969118</v>
      </c>
      <c r="F28" s="15">
        <v>10014054370</v>
      </c>
      <c r="G28" s="14" t="s">
        <v>19</v>
      </c>
      <c r="H28" s="16">
        <v>0.0101325661477306</v>
      </c>
      <c r="I28" s="16">
        <v>0.0097936287422165213</v>
      </c>
      <c r="J28" s="14" t="s">
        <v>20</v>
      </c>
    </row>
    <row r="29">
      <c r="B29" s="14">
        <v>20</v>
      </c>
      <c r="C29" s="23" t="s">
        <v>40</v>
      </c>
      <c r="D29" s="24">
        <v>0.4132</v>
      </c>
      <c r="E29" s="15">
        <v>94926095082</v>
      </c>
      <c r="F29" s="15">
        <v>145256147646</v>
      </c>
      <c r="G29" s="14" t="s">
        <v>19</v>
      </c>
      <c r="H29" s="16">
        <v>0.0647163974901969</v>
      </c>
      <c r="I29" s="16">
        <v>0.09</v>
      </c>
      <c r="J29" s="14" t="s">
        <v>19</v>
      </c>
    </row>
    <row r="30">
      <c r="B30" s="14">
        <v>21</v>
      </c>
      <c r="C30" s="23" t="s">
        <v>41</v>
      </c>
      <c r="D30" s="24">
        <v>0.2127</v>
      </c>
      <c r="E30" s="15">
        <v>1941345704</v>
      </c>
      <c r="F30" s="15">
        <v>2347109237</v>
      </c>
      <c r="G30" s="14" t="s">
        <v>19</v>
      </c>
      <c r="H30" s="16">
        <v>0.08190922489645</v>
      </c>
      <c r="I30" s="16">
        <v>0.09</v>
      </c>
      <c r="J30" s="14" t="s">
        <v>19</v>
      </c>
    </row>
    <row r="31">
      <c r="B31" s="14">
        <v>22</v>
      </c>
      <c r="C31" s="23" t="s">
        <v>42</v>
      </c>
      <c r="D31" s="24">
        <v>0.169</v>
      </c>
      <c r="E31" s="15">
        <v>140851360</v>
      </c>
      <c r="F31" s="15">
        <v>140851360</v>
      </c>
      <c r="G31" s="14" t="s">
        <v>24</v>
      </c>
      <c r="H31" s="16">
        <v>4.989596890672E-05</v>
      </c>
      <c r="I31" s="16">
        <v>4.5346599990942992E-05</v>
      </c>
      <c r="J31" s="14" t="s">
        <v>24</v>
      </c>
    </row>
    <row r="32">
      <c r="B32" s="14">
        <v>23</v>
      </c>
      <c r="C32" s="23" t="s">
        <v>43</v>
      </c>
      <c r="D32" s="24">
        <v>0.2254</v>
      </c>
      <c r="E32" s="15">
        <v>1024241821</v>
      </c>
      <c r="F32" s="15">
        <v>1022880401</v>
      </c>
      <c r="G32" s="14" t="s">
        <v>20</v>
      </c>
      <c r="H32" s="16">
        <v>0.00265278930251112</v>
      </c>
      <c r="I32" s="16">
        <v>0.0024077111277253046</v>
      </c>
      <c r="J32" s="14" t="s">
        <v>20</v>
      </c>
    </row>
    <row r="33">
      <c r="B33" s="14">
        <v>24</v>
      </c>
      <c r="C33" s="23" t="s">
        <v>44</v>
      </c>
      <c r="D33" s="24">
        <v>0.2983</v>
      </c>
      <c r="E33" s="15">
        <v>528438163</v>
      </c>
      <c r="F33" s="15">
        <v>528438163</v>
      </c>
      <c r="G33" s="14" t="s">
        <v>24</v>
      </c>
      <c r="H33" s="16">
        <v>0.0002684332518529</v>
      </c>
      <c r="I33" s="16">
        <v>0.00024395829102915128</v>
      </c>
      <c r="J33" s="14" t="s">
        <v>20</v>
      </c>
    </row>
    <row r="34">
      <c r="B34" s="14">
        <v>25</v>
      </c>
      <c r="C34" s="23" t="s">
        <v>45</v>
      </c>
      <c r="D34" s="24">
        <v>0.5441</v>
      </c>
      <c r="E34" s="15">
        <v>4873156132</v>
      </c>
      <c r="F34" s="15">
        <v>4873156132</v>
      </c>
      <c r="G34" s="14" t="s">
        <v>24</v>
      </c>
      <c r="H34" s="16">
        <v>0.00091200433677528009</v>
      </c>
      <c r="I34" s="16">
        <v>0.00082885044137796674</v>
      </c>
      <c r="J34" s="14" t="s">
        <v>20</v>
      </c>
    </row>
    <row r="35">
      <c r="B35" s="14">
        <v>26</v>
      </c>
      <c r="C35" s="23" t="s">
        <v>46</v>
      </c>
      <c r="D35" s="24">
        <v>0.5421</v>
      </c>
      <c r="E35" s="15">
        <v>2277500000</v>
      </c>
      <c r="F35" s="15">
        <v>3388125000</v>
      </c>
      <c r="G35" s="14" t="s">
        <v>19</v>
      </c>
      <c r="H35" s="16">
        <v>0.0004414534646655</v>
      </c>
      <c r="I35" s="16">
        <v>0.00059685005496053418</v>
      </c>
      <c r="J35" s="14" t="s">
        <v>19</v>
      </c>
    </row>
    <row r="36">
      <c r="B36" s="14">
        <v>27</v>
      </c>
      <c r="C36" s="23" t="s">
        <v>47</v>
      </c>
      <c r="D36" s="24">
        <v>0.1587</v>
      </c>
      <c r="E36" s="15">
        <v>14473036918</v>
      </c>
      <c r="F36" s="15">
        <v>17840879430</v>
      </c>
      <c r="G36" s="14" t="s">
        <v>19</v>
      </c>
      <c r="H36" s="16">
        <v>0.052962971038969207</v>
      </c>
      <c r="I36" s="16">
        <v>0.059334624383245438</v>
      </c>
      <c r="J36" s="14" t="s">
        <v>19</v>
      </c>
    </row>
    <row r="37">
      <c r="B37" s="14">
        <v>28</v>
      </c>
      <c r="C37" s="23" t="s">
        <v>48</v>
      </c>
      <c r="D37" s="24">
        <v>0.6056</v>
      </c>
      <c r="E37" s="15">
        <v>27964473556</v>
      </c>
      <c r="F37" s="15">
        <v>24640310178</v>
      </c>
      <c r="G37" s="14" t="s">
        <v>20</v>
      </c>
      <c r="H37" s="16">
        <v>0.0368214952352785</v>
      </c>
      <c r="I37" s="16">
        <v>0.029486295419365514</v>
      </c>
      <c r="J37" s="14" t="s">
        <v>20</v>
      </c>
    </row>
    <row r="38">
      <c r="B38" s="14">
        <v>29</v>
      </c>
      <c r="C38" s="23" t="s">
        <v>49</v>
      </c>
      <c r="D38" s="24">
        <v>0.4587</v>
      </c>
      <c r="E38" s="15">
        <v>3005315601</v>
      </c>
      <c r="F38" s="15">
        <v>3509516971</v>
      </c>
      <c r="G38" s="14" t="s">
        <v>19</v>
      </c>
      <c r="H38" s="16">
        <v>0.00257115703111798</v>
      </c>
      <c r="I38" s="16">
        <v>0.00272875869298699</v>
      </c>
      <c r="J38" s="14" t="s">
        <v>19</v>
      </c>
    </row>
    <row r="39">
      <c r="B39" s="14">
        <v>30</v>
      </c>
      <c r="C39" s="23" t="s">
        <v>50</v>
      </c>
      <c r="D39" s="24">
        <v>0.2042</v>
      </c>
      <c r="E39" s="15">
        <v>305633261</v>
      </c>
      <c r="F39" s="15">
        <v>481433861</v>
      </c>
      <c r="G39" s="14" t="s">
        <v>19</v>
      </c>
      <c r="H39" s="16">
        <v>0.0628676494583849</v>
      </c>
      <c r="I39" s="16">
        <v>0.09</v>
      </c>
      <c r="J39" s="14" t="s">
        <v>19</v>
      </c>
    </row>
    <row r="40">
      <c r="B40" s="14">
        <v>31</v>
      </c>
      <c r="C40" s="23" t="s">
        <v>51</v>
      </c>
      <c r="D40" s="24">
        <v>0.2973</v>
      </c>
      <c r="E40" s="15">
        <v>2597266852</v>
      </c>
      <c r="F40" s="15">
        <v>2750863681</v>
      </c>
      <c r="G40" s="14" t="s">
        <v>19</v>
      </c>
      <c r="H40" s="16">
        <v>0.0027081313035965896</v>
      </c>
      <c r="I40" s="16">
        <v>0.0026067626121074488</v>
      </c>
      <c r="J40" s="14" t="s">
        <v>20</v>
      </c>
    </row>
    <row r="41">
      <c r="B41" s="14">
        <v>32</v>
      </c>
      <c r="C41" s="23" t="s">
        <v>52</v>
      </c>
      <c r="D41" s="24">
        <v>0.4259</v>
      </c>
      <c r="E41" s="15">
        <v>3108431150</v>
      </c>
      <c r="F41" s="15">
        <v>3108431150</v>
      </c>
      <c r="G41" s="14" t="s">
        <v>24</v>
      </c>
      <c r="H41" s="16">
        <v>0.0073236725772615995</v>
      </c>
      <c r="I41" s="16">
        <v>0.0066559214722646575</v>
      </c>
      <c r="J41" s="14" t="s">
        <v>20</v>
      </c>
    </row>
    <row r="42">
      <c r="B42" s="14">
        <v>33</v>
      </c>
      <c r="C42" s="23" t="s">
        <v>53</v>
      </c>
      <c r="D42" s="24">
        <v>0.44</v>
      </c>
      <c r="E42" s="15">
        <v>11186609364</v>
      </c>
      <c r="F42" s="15">
        <v>11592341310</v>
      </c>
      <c r="G42" s="14" t="s">
        <v>19</v>
      </c>
      <c r="H42" s="16">
        <v>0.0523389564043775</v>
      </c>
      <c r="I42" s="16">
        <v>0.049292065300040981</v>
      </c>
      <c r="J42" s="14" t="s">
        <v>20</v>
      </c>
    </row>
    <row r="43">
      <c r="B43" s="14">
        <v>34</v>
      </c>
      <c r="C43" s="23" t="s">
        <v>54</v>
      </c>
      <c r="D43" s="24">
        <v>0.4836</v>
      </c>
      <c r="E43" s="15">
        <v>712895488</v>
      </c>
      <c r="F43" s="15">
        <v>713485633</v>
      </c>
      <c r="G43" s="14" t="s">
        <v>19</v>
      </c>
      <c r="H43" s="16">
        <v>0.00032163121027646997</v>
      </c>
      <c r="I43" s="16">
        <v>0.000292547789659664</v>
      </c>
      <c r="J43" s="14" t="s">
        <v>24</v>
      </c>
    </row>
    <row r="44">
      <c r="B44" s="14">
        <v>35</v>
      </c>
      <c r="C44" s="23" t="s">
        <v>55</v>
      </c>
      <c r="D44" s="24">
        <v>0.1022</v>
      </c>
      <c r="E44" s="15">
        <v>611176477</v>
      </c>
      <c r="F44" s="15">
        <v>601176477</v>
      </c>
      <c r="G44" s="14" t="s">
        <v>20</v>
      </c>
      <c r="H44" s="16">
        <v>0.0163911801028197</v>
      </c>
      <c r="I44" s="16">
        <v>0.014652942313099198</v>
      </c>
      <c r="J44" s="14" t="s">
        <v>20</v>
      </c>
    </row>
    <row r="45">
      <c r="B45" s="14">
        <v>36</v>
      </c>
      <c r="C45" s="23" t="s">
        <v>56</v>
      </c>
      <c r="D45" s="24">
        <v>0.0753</v>
      </c>
      <c r="E45" s="15">
        <v>188250000</v>
      </c>
      <c r="F45" s="15">
        <v>188250000</v>
      </c>
      <c r="G45" s="14" t="s">
        <v>24</v>
      </c>
      <c r="H45" s="16">
        <v>0.00013211521323206</v>
      </c>
      <c r="I45" s="16">
        <v>0.00012006933342354351</v>
      </c>
      <c r="J45" s="14" t="s">
        <v>24</v>
      </c>
    </row>
    <row r="46">
      <c r="B46" s="14">
        <v>37</v>
      </c>
      <c r="C46" s="23" t="s">
        <v>57</v>
      </c>
      <c r="D46" s="24">
        <v>0.1517</v>
      </c>
      <c r="E46" s="15">
        <v>2399763958</v>
      </c>
      <c r="F46" s="15">
        <v>2399763958</v>
      </c>
      <c r="G46" s="14" t="s">
        <v>24</v>
      </c>
      <c r="H46" s="16">
        <v>0.0015157545514794298</v>
      </c>
      <c r="I46" s="16">
        <v>0.0013775524722614602</v>
      </c>
      <c r="J46" s="14" t="s">
        <v>20</v>
      </c>
    </row>
    <row r="47">
      <c r="B47" s="14">
        <v>38</v>
      </c>
      <c r="C47" s="23" t="s">
        <v>58</v>
      </c>
      <c r="D47" s="24">
        <v>0.1884</v>
      </c>
      <c r="E47" s="15">
        <v>1690850050</v>
      </c>
      <c r="F47" s="15">
        <v>2777298600</v>
      </c>
      <c r="G47" s="14" t="s">
        <v>19</v>
      </c>
      <c r="H47" s="16">
        <v>0.00011866508095574</v>
      </c>
      <c r="I47" s="16">
        <v>0.00017714124388852089</v>
      </c>
      <c r="J47" s="14" t="s">
        <v>19</v>
      </c>
    </row>
    <row r="48" s="7" customFormat="1">
      <c r="B48" s="14">
        <v>39</v>
      </c>
      <c r="C48" s="23" t="s">
        <v>59</v>
      </c>
      <c r="D48" s="24">
        <v>0.0617</v>
      </c>
      <c r="E48" s="15">
        <v>628446005</v>
      </c>
      <c r="F48" s="15">
        <v>438136932</v>
      </c>
      <c r="G48" s="14" t="s">
        <v>20</v>
      </c>
      <c r="H48" s="16">
        <v>0.00024362649068052002</v>
      </c>
      <c r="I48" s="16">
        <v>0.00015436387504992374</v>
      </c>
      <c r="J48" s="14" t="s">
        <v>24</v>
      </c>
    </row>
    <row r="49" s="7" customFormat="1">
      <c r="B49" s="14">
        <v>40</v>
      </c>
      <c r="C49" s="23" t="s">
        <v>60</v>
      </c>
      <c r="D49" s="24">
        <v>0.1718</v>
      </c>
      <c r="E49" s="15">
        <v>2322409580</v>
      </c>
      <c r="F49" s="15">
        <v>2322409580</v>
      </c>
      <c r="G49" s="14" t="s">
        <v>24</v>
      </c>
      <c r="H49" s="16">
        <v>0.00752851116847304</v>
      </c>
      <c r="I49" s="16">
        <v>0.00684208347817214</v>
      </c>
      <c r="J49" s="14" t="s">
        <v>20</v>
      </c>
    </row>
    <row r="50">
      <c r="B50" s="14">
        <v>41</v>
      </c>
      <c r="C50" s="23" t="s">
        <v>61</v>
      </c>
      <c r="D50" s="24">
        <v>0.2357</v>
      </c>
      <c r="E50" s="15">
        <v>4241010909</v>
      </c>
      <c r="F50" s="15">
        <v>4257342628</v>
      </c>
      <c r="G50" s="14" t="s">
        <v>19</v>
      </c>
      <c r="H50" s="16">
        <v>0.00226771212774107</v>
      </c>
      <c r="I50" s="16">
        <v>0.0020688852623631689</v>
      </c>
      <c r="J50" s="14" t="s">
        <v>20</v>
      </c>
    </row>
    <row r="51">
      <c r="B51" s="14">
        <v>42</v>
      </c>
      <c r="C51" s="23" t="s">
        <v>62</v>
      </c>
      <c r="D51" s="24">
        <v>0.3938</v>
      </c>
      <c r="E51" s="15">
        <v>11315595287</v>
      </c>
      <c r="F51" s="15">
        <v>12316421847</v>
      </c>
      <c r="G51" s="14" t="s">
        <v>19</v>
      </c>
      <c r="H51" s="16">
        <v>0.00291183446234379</v>
      </c>
      <c r="I51" s="16">
        <v>0.0028804019785781628</v>
      </c>
      <c r="J51" s="14" t="s">
        <v>24</v>
      </c>
    </row>
    <row r="52">
      <c r="B52" s="14">
        <v>43</v>
      </c>
      <c r="C52" s="23" t="s">
        <v>63</v>
      </c>
      <c r="D52" s="24">
        <v>0.2774</v>
      </c>
      <c r="E52" s="15">
        <v>1482299624</v>
      </c>
      <c r="F52" s="15">
        <v>1445307261</v>
      </c>
      <c r="G52" s="14" t="s">
        <v>20</v>
      </c>
      <c r="H52" s="16">
        <v>0.0168427679771101</v>
      </c>
      <c r="I52" s="16">
        <v>0.014925088723151235</v>
      </c>
      <c r="J52" s="14" t="s">
        <v>20</v>
      </c>
    </row>
    <row r="53">
      <c r="B53" s="14">
        <v>44</v>
      </c>
      <c r="C53" s="23" t="s">
        <v>64</v>
      </c>
      <c r="D53" s="24">
        <v>0.1175</v>
      </c>
      <c r="E53" s="15">
        <v>76375000</v>
      </c>
      <c r="F53" s="15">
        <v>76375000</v>
      </c>
      <c r="G53" s="14" t="s">
        <v>24</v>
      </c>
      <c r="H53" s="16">
        <v>0.00014676335068853</v>
      </c>
      <c r="I53" s="16">
        <v>0.00013338189643023597</v>
      </c>
      <c r="J53" s="14" t="s">
        <v>24</v>
      </c>
    </row>
    <row r="54">
      <c r="B54" s="14">
        <v>45</v>
      </c>
      <c r="C54" s="23" t="s">
        <v>65</v>
      </c>
      <c r="D54" s="24">
        <v>0.204</v>
      </c>
      <c r="E54" s="15">
        <v>224187531</v>
      </c>
      <c r="F54" s="15">
        <v>203806846</v>
      </c>
      <c r="G54" s="14" t="s">
        <v>20</v>
      </c>
      <c r="H54" s="16">
        <v>0.0016557786492403701</v>
      </c>
      <c r="I54" s="16">
        <v>0.0013680087083167594</v>
      </c>
      <c r="J54" s="14" t="s">
        <v>20</v>
      </c>
    </row>
    <row r="55">
      <c r="B55" s="14">
        <v>46</v>
      </c>
      <c r="C55" s="23" t="s">
        <v>66</v>
      </c>
      <c r="D55" s="24">
        <v>0.3341</v>
      </c>
      <c r="E55" s="15">
        <v>392535945</v>
      </c>
      <c r="F55" s="15">
        <v>377507943</v>
      </c>
      <c r="G55" s="14" t="s">
        <v>20</v>
      </c>
      <c r="H55" s="16">
        <v>0.0365017053648195</v>
      </c>
      <c r="I55" s="16">
        <v>0.031903555537285855</v>
      </c>
      <c r="J55" s="14" t="s">
        <v>20</v>
      </c>
    </row>
    <row r="56">
      <c r="B56" s="14">
        <v>47</v>
      </c>
      <c r="C56" s="23" t="s">
        <v>67</v>
      </c>
      <c r="D56" s="24">
        <v>0.6498</v>
      </c>
      <c r="E56" s="15">
        <v>1320744492</v>
      </c>
      <c r="F56" s="15">
        <v>1320744492</v>
      </c>
      <c r="G56" s="14" t="s">
        <v>24</v>
      </c>
      <c r="H56" s="16">
        <v>0.00022952008827303</v>
      </c>
      <c r="I56" s="16">
        <v>0.00020859311605431844</v>
      </c>
      <c r="J56" s="14" t="s">
        <v>24</v>
      </c>
    </row>
    <row r="57">
      <c r="B57" s="14">
        <v>48</v>
      </c>
      <c r="C57" s="23" t="s">
        <v>68</v>
      </c>
      <c r="D57" s="24">
        <v>0.1587</v>
      </c>
      <c r="E57" s="15">
        <v>782000000</v>
      </c>
      <c r="F57" s="15">
        <v>793500000</v>
      </c>
      <c r="G57" s="14" t="s">
        <v>19</v>
      </c>
      <c r="H57" s="16">
        <v>0.00090946197857762006</v>
      </c>
      <c r="I57" s="16">
        <v>0.00083869488630646839</v>
      </c>
      <c r="J57" s="14" t="s">
        <v>20</v>
      </c>
    </row>
    <row r="58">
      <c r="B58" s="14">
        <v>49</v>
      </c>
      <c r="C58" s="23" t="s">
        <v>69</v>
      </c>
      <c r="D58" s="24">
        <v>0.1094</v>
      </c>
      <c r="E58" s="15">
        <v>75583707</v>
      </c>
      <c r="F58" s="15">
        <v>76280973</v>
      </c>
      <c r="G58" s="14" t="s">
        <v>19</v>
      </c>
      <c r="H58" s="16">
        <v>6.0623077622760005E-05</v>
      </c>
      <c r="I58" s="16">
        <v>5.5603904464710575E-05</v>
      </c>
      <c r="J58" s="14" t="s">
        <v>24</v>
      </c>
    </row>
    <row r="59">
      <c r="B59" s="14">
        <v>50</v>
      </c>
      <c r="C59" s="23" t="s">
        <v>70</v>
      </c>
      <c r="D59" s="24">
        <v>0.3007</v>
      </c>
      <c r="E59" s="15">
        <v>1939971662</v>
      </c>
      <c r="F59" s="15">
        <v>1743944630</v>
      </c>
      <c r="G59" s="14" t="s">
        <v>20</v>
      </c>
      <c r="H59" s="16">
        <v>0.00075205902221101007</v>
      </c>
      <c r="I59" s="16">
        <v>0.00061442446672535717</v>
      </c>
      <c r="J59" s="14" t="s">
        <v>20</v>
      </c>
    </row>
    <row r="60">
      <c r="B60" s="14">
        <v>51</v>
      </c>
      <c r="C60" s="23" t="s">
        <v>71</v>
      </c>
      <c r="D60" s="24">
        <v>0.2056</v>
      </c>
      <c r="E60" s="15">
        <v>3601522600</v>
      </c>
      <c r="F60" s="15">
        <v>3426529600</v>
      </c>
      <c r="G60" s="14" t="s">
        <v>20</v>
      </c>
      <c r="H60" s="16">
        <v>0.00167301369126698</v>
      </c>
      <c r="I60" s="16">
        <v>0.001446595494312217</v>
      </c>
      <c r="J60" s="14" t="s">
        <v>20</v>
      </c>
    </row>
    <row r="61">
      <c r="B61" s="14">
        <v>52</v>
      </c>
      <c r="C61" s="23" t="s">
        <v>72</v>
      </c>
      <c r="D61" s="24">
        <v>0.0971</v>
      </c>
      <c r="E61" s="15">
        <v>119168107</v>
      </c>
      <c r="F61" s="15">
        <v>119168107</v>
      </c>
      <c r="G61" s="14" t="s">
        <v>24</v>
      </c>
      <c r="H61" s="16">
        <v>0.0006770293751597301</v>
      </c>
      <c r="I61" s="16">
        <v>0.000615299809011898</v>
      </c>
      <c r="J61" s="14" t="s">
        <v>20</v>
      </c>
    </row>
    <row r="62">
      <c r="B62" s="14">
        <v>53</v>
      </c>
      <c r="C62" s="23" t="s">
        <v>73</v>
      </c>
      <c r="D62" s="24">
        <v>0.175</v>
      </c>
      <c r="E62" s="15">
        <v>306254662</v>
      </c>
      <c r="F62" s="15">
        <v>306254662</v>
      </c>
      <c r="G62" s="14" t="s">
        <v>24</v>
      </c>
      <c r="H62" s="16">
        <v>0.0016426925809745099</v>
      </c>
      <c r="I62" s="16">
        <v>0.0014929166617493122</v>
      </c>
      <c r="J62" s="14" t="s">
        <v>20</v>
      </c>
    </row>
    <row r="63">
      <c r="B63" s="14">
        <v>54</v>
      </c>
      <c r="C63" s="23" t="s">
        <v>74</v>
      </c>
      <c r="D63" s="24">
        <v>0.0751</v>
      </c>
      <c r="E63" s="15">
        <v>267022556</v>
      </c>
      <c r="F63" s="15">
        <v>267022556</v>
      </c>
      <c r="G63" s="14" t="s">
        <v>24</v>
      </c>
      <c r="H63" s="16">
        <v>0.00353379771119685</v>
      </c>
      <c r="I63" s="16">
        <v>0.0032115963427449433</v>
      </c>
      <c r="J63" s="14" t="s">
        <v>20</v>
      </c>
    </row>
    <row r="64">
      <c r="B64" s="14">
        <v>55</v>
      </c>
      <c r="C64" s="23" t="s">
        <v>75</v>
      </c>
      <c r="D64" s="24">
        <v>0.2418</v>
      </c>
      <c r="E64" s="15">
        <v>5879364490</v>
      </c>
      <c r="F64" s="15">
        <v>6077940717</v>
      </c>
      <c r="G64" s="14" t="s">
        <v>19</v>
      </c>
      <c r="H64" s="16">
        <v>0.034384838125956</v>
      </c>
      <c r="I64" s="16">
        <v>0.03230519214015129</v>
      </c>
      <c r="J64" s="14" t="s">
        <v>20</v>
      </c>
    </row>
    <row r="65">
      <c r="B65" s="14">
        <v>56</v>
      </c>
      <c r="C65" s="23" t="s">
        <v>76</v>
      </c>
      <c r="D65" s="24">
        <v>0.2</v>
      </c>
      <c r="E65" s="15">
        <v>650000000</v>
      </c>
      <c r="F65" s="15">
        <v>650000000</v>
      </c>
      <c r="G65" s="14" t="s">
        <v>24</v>
      </c>
      <c r="H65" s="16">
        <v>0.00225915093011755</v>
      </c>
      <c r="I65" s="16">
        <v>0.0020531681374645018</v>
      </c>
      <c r="J65" s="14" t="s">
        <v>20</v>
      </c>
    </row>
    <row r="66">
      <c r="B66" s="14">
        <v>57</v>
      </c>
      <c r="C66" s="23" t="s">
        <v>77</v>
      </c>
      <c r="D66" s="24">
        <v>0.5417</v>
      </c>
      <c r="E66" s="15">
        <v>17248856281</v>
      </c>
      <c r="F66" s="15">
        <v>17248856281</v>
      </c>
      <c r="G66" s="14" t="s">
        <v>24</v>
      </c>
      <c r="H66" s="16">
        <v>0.0014411157437383502</v>
      </c>
      <c r="I66" s="16">
        <v>0.0013097190134506891</v>
      </c>
      <c r="J66" s="14" t="s">
        <v>20</v>
      </c>
    </row>
    <row r="67">
      <c r="B67" s="14">
        <v>58</v>
      </c>
      <c r="C67" s="23" t="s">
        <v>78</v>
      </c>
      <c r="D67" s="24">
        <v>0.1901</v>
      </c>
      <c r="E67" s="15">
        <v>419420006</v>
      </c>
      <c r="F67" s="15">
        <v>419420006</v>
      </c>
      <c r="G67" s="14" t="s">
        <v>24</v>
      </c>
      <c r="H67" s="16">
        <v>0.00199738855435998</v>
      </c>
      <c r="I67" s="16">
        <v>0.0018152724927410038</v>
      </c>
      <c r="J67" s="14" t="s">
        <v>20</v>
      </c>
    </row>
    <row r="68">
      <c r="B68" s="14">
        <v>59</v>
      </c>
      <c r="C68" s="23" t="s">
        <v>79</v>
      </c>
      <c r="D68" s="24">
        <v>0.4303</v>
      </c>
      <c r="E68" s="15">
        <v>10431120977</v>
      </c>
      <c r="F68" s="15">
        <v>10431120977</v>
      </c>
      <c r="G68" s="14" t="s">
        <v>24</v>
      </c>
      <c r="H68" s="16">
        <v>0.0674544339230593</v>
      </c>
      <c r="I68" s="16">
        <v>0.061304135377469447</v>
      </c>
      <c r="J68" s="14" t="s">
        <v>20</v>
      </c>
    </row>
    <row r="69">
      <c r="B69" s="14">
        <v>60</v>
      </c>
      <c r="C69" s="23" t="s">
        <v>80</v>
      </c>
      <c r="D69" s="24">
        <v>0.208</v>
      </c>
      <c r="E69" s="15">
        <v>249120000</v>
      </c>
      <c r="F69" s="15">
        <v>249600000</v>
      </c>
      <c r="G69" s="14" t="s">
        <v>19</v>
      </c>
      <c r="H69" s="16">
        <v>0.0014860908702424899</v>
      </c>
      <c r="I69" s="16">
        <v>0.0013531957385996809</v>
      </c>
      <c r="J69" s="14" t="s">
        <v>20</v>
      </c>
    </row>
    <row r="70">
      <c r="B70" s="14">
        <v>61</v>
      </c>
      <c r="C70" s="23" t="s">
        <v>81</v>
      </c>
      <c r="D70" s="24">
        <v>0.1324</v>
      </c>
      <c r="E70" s="15">
        <v>211087067</v>
      </c>
      <c r="F70" s="15">
        <v>196263537</v>
      </c>
      <c r="G70" s="14" t="s">
        <v>20</v>
      </c>
      <c r="H70" s="16">
        <v>0.00064195053966189</v>
      </c>
      <c r="I70" s="16">
        <v>0.00054244890151458321</v>
      </c>
      <c r="J70" s="14" t="s">
        <v>20</v>
      </c>
    </row>
    <row r="71">
      <c r="B71" s="14">
        <v>62</v>
      </c>
      <c r="C71" s="23" t="s">
        <v>82</v>
      </c>
      <c r="D71" s="24">
        <v>0.1639</v>
      </c>
      <c r="E71" s="15">
        <v>889481770</v>
      </c>
      <c r="F71" s="15">
        <v>887856651</v>
      </c>
      <c r="G71" s="14" t="s">
        <v>20</v>
      </c>
      <c r="H71" s="16">
        <v>0.001099859793146</v>
      </c>
      <c r="I71" s="16">
        <v>0.000997751516011756</v>
      </c>
      <c r="J71" s="14" t="s">
        <v>20</v>
      </c>
    </row>
    <row r="72">
      <c r="B72" s="14">
        <v>63</v>
      </c>
      <c r="C72" s="23" t="s">
        <v>83</v>
      </c>
      <c r="D72" s="24">
        <v>0.3276</v>
      </c>
      <c r="E72" s="15">
        <v>3774167970</v>
      </c>
      <c r="F72" s="15">
        <v>3774167970</v>
      </c>
      <c r="G72" s="14" t="s">
        <v>24</v>
      </c>
      <c r="H72" s="16">
        <v>0.0368300769721131</v>
      </c>
      <c r="I72" s="16">
        <v>0.033472017976941375</v>
      </c>
      <c r="J72" s="14" t="s">
        <v>20</v>
      </c>
    </row>
    <row r="73">
      <c r="B73" s="14">
        <v>64</v>
      </c>
      <c r="C73" s="23" t="s">
        <v>84</v>
      </c>
      <c r="D73" s="24">
        <v>0.1584</v>
      </c>
      <c r="E73" s="15">
        <v>87146184</v>
      </c>
      <c r="F73" s="15">
        <v>87146184</v>
      </c>
      <c r="G73" s="14" t="s">
        <v>24</v>
      </c>
      <c r="H73" s="16">
        <v>9.377839528109E-05</v>
      </c>
      <c r="I73" s="16">
        <v>8.5227954248782818E-05</v>
      </c>
      <c r="J73" s="14" t="s">
        <v>24</v>
      </c>
    </row>
    <row r="74">
      <c r="B74" s="14">
        <v>65</v>
      </c>
      <c r="C74" s="23" t="s">
        <v>85</v>
      </c>
      <c r="D74" s="24">
        <v>0.2916</v>
      </c>
      <c r="E74" s="15">
        <v>2768620725</v>
      </c>
      <c r="F74" s="15">
        <v>2941092180</v>
      </c>
      <c r="G74" s="14" t="s">
        <v>19</v>
      </c>
      <c r="H74" s="16">
        <v>0.039415915216675604</v>
      </c>
      <c r="I74" s="16">
        <v>0.038053626877443444</v>
      </c>
      <c r="J74" s="14" t="s">
        <v>20</v>
      </c>
    </row>
    <row r="75">
      <c r="B75" s="14">
        <v>66</v>
      </c>
      <c r="C75" s="23" t="s">
        <v>86</v>
      </c>
      <c r="D75" s="24">
        <v>0.2439</v>
      </c>
      <c r="E75" s="15">
        <v>1042821253</v>
      </c>
      <c r="F75" s="15">
        <v>1030985422</v>
      </c>
      <c r="G75" s="14" t="s">
        <v>20</v>
      </c>
      <c r="H75" s="16">
        <v>0.011849153923740202</v>
      </c>
      <c r="I75" s="16">
        <v>0.010646558907741872</v>
      </c>
      <c r="J75" s="14" t="s">
        <v>20</v>
      </c>
    </row>
    <row r="76">
      <c r="B76" s="14">
        <v>67</v>
      </c>
      <c r="C76" s="23" t="s">
        <v>87</v>
      </c>
      <c r="D76" s="24">
        <v>0.3122</v>
      </c>
      <c r="E76" s="15">
        <v>847639796</v>
      </c>
      <c r="F76" s="15">
        <v>847639796</v>
      </c>
      <c r="G76" s="14" t="s">
        <v>24</v>
      </c>
      <c r="H76" s="16">
        <v>0.0137105617904203</v>
      </c>
      <c r="I76" s="16">
        <v>0.01246047276058718</v>
      </c>
      <c r="J76" s="14" t="s">
        <v>20</v>
      </c>
    </row>
    <row r="77">
      <c r="B77" s="14">
        <v>68</v>
      </c>
      <c r="C77" s="23" t="s">
        <v>88</v>
      </c>
      <c r="D77" s="24">
        <v>0.229</v>
      </c>
      <c r="E77" s="15">
        <v>334164611</v>
      </c>
      <c r="F77" s="15">
        <v>334164611</v>
      </c>
      <c r="G77" s="14" t="s">
        <v>24</v>
      </c>
      <c r="H77" s="16">
        <v>9.380765755511E-05</v>
      </c>
      <c r="I77" s="16">
        <v>8.52545489919169E-05</v>
      </c>
      <c r="J77" s="14" t="s">
        <v>24</v>
      </c>
    </row>
    <row r="78" s="7" customFormat="1">
      <c r="B78" s="14">
        <v>69</v>
      </c>
      <c r="C78" s="23" t="s">
        <v>89</v>
      </c>
      <c r="D78" s="24">
        <v>0.1747</v>
      </c>
      <c r="E78" s="15">
        <v>106415011</v>
      </c>
      <c r="F78" s="15">
        <v>106415011</v>
      </c>
      <c r="G78" s="14" t="s">
        <v>24</v>
      </c>
      <c r="H78" s="16">
        <v>0.00024360826359349</v>
      </c>
      <c r="I78" s="16">
        <v>0.00022139677263934484</v>
      </c>
      <c r="J78" s="14" t="s">
        <v>24</v>
      </c>
    </row>
    <row r="79" s="7" customFormat="1">
      <c r="B79" s="14">
        <v>70</v>
      </c>
      <c r="C79" s="23" t="s">
        <v>90</v>
      </c>
      <c r="D79" s="24">
        <v>0.4096</v>
      </c>
      <c r="E79" s="15">
        <v>1792000000</v>
      </c>
      <c r="F79" s="15">
        <v>1792000000</v>
      </c>
      <c r="G79" s="14" t="s">
        <v>24</v>
      </c>
      <c r="H79" s="16">
        <v>0.0173075023209573</v>
      </c>
      <c r="I79" s="16">
        <v>0.015729454739278344</v>
      </c>
      <c r="J79" s="14" t="s">
        <v>20</v>
      </c>
    </row>
    <row r="80" s="7" customFormat="1">
      <c r="B80" s="14">
        <v>71</v>
      </c>
      <c r="C80" s="23" t="s">
        <v>91</v>
      </c>
      <c r="D80" s="24">
        <v>0.296</v>
      </c>
      <c r="E80" s="15">
        <v>250000000</v>
      </c>
      <c r="F80" s="15">
        <v>370000000</v>
      </c>
      <c r="G80" s="14" t="s">
        <v>19</v>
      </c>
      <c r="H80" s="16">
        <v>0.00037429719552243</v>
      </c>
      <c r="I80" s="16">
        <v>0.0005034514060149643</v>
      </c>
      <c r="J80" s="14" t="s">
        <v>19</v>
      </c>
    </row>
    <row r="81" s="7" customFormat="1">
      <c r="B81" s="14">
        <v>72</v>
      </c>
      <c r="C81" s="23" t="s">
        <v>92</v>
      </c>
      <c r="D81" s="24">
        <v>0.3754</v>
      </c>
      <c r="E81" s="15">
        <v>298914000</v>
      </c>
      <c r="F81" s="15">
        <v>289058000</v>
      </c>
      <c r="G81" s="14" t="s">
        <v>20</v>
      </c>
      <c r="H81" s="16">
        <v>0.00021177791467238998</v>
      </c>
      <c r="I81" s="16">
        <v>0.00018612241302010853</v>
      </c>
      <c r="J81" s="14" t="s">
        <v>24</v>
      </c>
    </row>
    <row r="82" s="7" customFormat="1">
      <c r="B82" s="14">
        <v>73</v>
      </c>
      <c r="C82" s="23" t="s">
        <v>93</v>
      </c>
      <c r="D82" s="24">
        <v>0.2545</v>
      </c>
      <c r="E82" s="15">
        <v>342877375</v>
      </c>
      <c r="F82" s="15">
        <v>342877375</v>
      </c>
      <c r="G82" s="14" t="s">
        <v>24</v>
      </c>
      <c r="H82" s="16">
        <v>0.00012260866309066</v>
      </c>
      <c r="I82" s="16">
        <v>0.00011142956289066444</v>
      </c>
      <c r="J82" s="14" t="s">
        <v>24</v>
      </c>
    </row>
    <row r="83">
      <c r="B83" s="14">
        <v>74</v>
      </c>
      <c r="C83" s="23" t="s">
        <v>94</v>
      </c>
      <c r="D83" s="24">
        <v>0.208</v>
      </c>
      <c r="E83" s="15">
        <v>3242077163</v>
      </c>
      <c r="F83" s="15">
        <v>3242077163</v>
      </c>
      <c r="G83" s="14" t="s">
        <v>24</v>
      </c>
      <c r="H83" s="16">
        <v>0.00422558171440633</v>
      </c>
      <c r="I83" s="16">
        <v>0.0038403054983575592</v>
      </c>
      <c r="J83" s="14" t="s">
        <v>20</v>
      </c>
    </row>
    <row r="84">
      <c r="B84" s="14">
        <v>75</v>
      </c>
      <c r="C84" s="23" t="s">
        <v>95</v>
      </c>
      <c r="D84" s="24">
        <v>0.182</v>
      </c>
      <c r="E84" s="15">
        <v>495001780</v>
      </c>
      <c r="F84" s="15">
        <v>495001780</v>
      </c>
      <c r="G84" s="14" t="s">
        <v>24</v>
      </c>
      <c r="H84" s="16">
        <v>0.0062531250086006792</v>
      </c>
      <c r="I84" s="16">
        <v>0.0056829833085004812</v>
      </c>
      <c r="J84" s="14" t="s">
        <v>20</v>
      </c>
    </row>
    <row r="85">
      <c r="B85" s="14">
        <v>76</v>
      </c>
      <c r="C85" s="23" t="s">
        <v>96</v>
      </c>
      <c r="D85" s="24">
        <v>0.2661</v>
      </c>
      <c r="E85" s="15">
        <v>242171693</v>
      </c>
      <c r="F85" s="15">
        <v>242171693</v>
      </c>
      <c r="G85" s="14" t="s">
        <v>24</v>
      </c>
      <c r="H85" s="16">
        <v>0.00010278403180047</v>
      </c>
      <c r="I85" s="16">
        <v>9.3412483566213852E-05</v>
      </c>
      <c r="J85" s="14" t="s">
        <v>24</v>
      </c>
    </row>
    <row r="86">
      <c r="B86" s="14">
        <v>77</v>
      </c>
      <c r="C86" s="23" t="s">
        <v>97</v>
      </c>
      <c r="D86" s="24">
        <v>0.115</v>
      </c>
      <c r="E86" s="15">
        <v>393875000</v>
      </c>
      <c r="F86" s="15">
        <v>393875000</v>
      </c>
      <c r="G86" s="14" t="s">
        <v>24</v>
      </c>
      <c r="H86" s="16">
        <v>0.00152033380007849</v>
      </c>
      <c r="I86" s="16">
        <v>0.0013817141984705983</v>
      </c>
      <c r="J86" s="14" t="s">
        <v>20</v>
      </c>
    </row>
    <row r="87">
      <c r="B87" s="14">
        <v>78</v>
      </c>
      <c r="C87" s="23" t="s">
        <v>98</v>
      </c>
      <c r="D87" s="24">
        <v>0.2863</v>
      </c>
      <c r="E87" s="15">
        <v>3723567024</v>
      </c>
      <c r="F87" s="15">
        <v>3578574149</v>
      </c>
      <c r="G87" s="14" t="s">
        <v>20</v>
      </c>
      <c r="H87" s="16">
        <v>0.0006221967385817</v>
      </c>
      <c r="I87" s="16">
        <v>0.00054344781220966711</v>
      </c>
      <c r="J87" s="14" t="s">
        <v>20</v>
      </c>
    </row>
    <row r="88">
      <c r="B88" s="14">
        <v>79</v>
      </c>
      <c r="C88" s="23" t="s">
        <v>99</v>
      </c>
      <c r="D88" s="24">
        <v>0.1413</v>
      </c>
      <c r="E88" s="15">
        <v>993907200</v>
      </c>
      <c r="F88" s="15">
        <v>997436700</v>
      </c>
      <c r="G88" s="14" t="s">
        <v>19</v>
      </c>
      <c r="H88" s="16">
        <v>0.0014216351607122299</v>
      </c>
      <c r="I88" s="16">
        <v>0.0012966027332474443</v>
      </c>
      <c r="J88" s="14" t="s">
        <v>20</v>
      </c>
    </row>
    <row r="89">
      <c r="B89" s="14">
        <v>80</v>
      </c>
      <c r="C89" s="23" t="s">
        <v>100</v>
      </c>
      <c r="D89" s="24">
        <v>0.6623</v>
      </c>
      <c r="E89" s="15">
        <v>16432683878</v>
      </c>
      <c r="F89" s="15">
        <v>16432683878</v>
      </c>
      <c r="G89" s="14" t="s">
        <v>24</v>
      </c>
      <c r="H89" s="16">
        <v>0.00274585155823309</v>
      </c>
      <c r="I89" s="16">
        <v>0.00249549282191914</v>
      </c>
      <c r="J89" s="14" t="s">
        <v>20</v>
      </c>
    </row>
    <row r="90">
      <c r="B90" s="14">
        <v>81</v>
      </c>
      <c r="C90" s="23" t="s">
        <v>101</v>
      </c>
      <c r="D90" s="24">
        <v>0.2018</v>
      </c>
      <c r="E90" s="15">
        <v>505000000</v>
      </c>
      <c r="F90" s="15">
        <v>504500000</v>
      </c>
      <c r="G90" s="14" t="s">
        <v>20</v>
      </c>
      <c r="H90" s="16">
        <v>0.0013332666620863801</v>
      </c>
      <c r="I90" s="16">
        <v>0.0012105035902768705</v>
      </c>
      <c r="J90" s="14" t="s">
        <v>20</v>
      </c>
    </row>
    <row r="91">
      <c r="B91" s="14">
        <v>82</v>
      </c>
      <c r="C91" s="23" t="s">
        <v>102</v>
      </c>
      <c r="D91" s="24">
        <v>0.0769</v>
      </c>
      <c r="E91" s="15">
        <v>115163654</v>
      </c>
      <c r="F91" s="15">
        <v>115163654</v>
      </c>
      <c r="G91" s="14" t="s">
        <v>24</v>
      </c>
      <c r="H91" s="16">
        <v>0.00104299752380925</v>
      </c>
      <c r="I91" s="16">
        <v>0.00094790004909581053</v>
      </c>
      <c r="J91" s="14" t="s">
        <v>20</v>
      </c>
    </row>
    <row r="92">
      <c r="B92" s="14">
        <v>83</v>
      </c>
      <c r="C92" s="23" t="s">
        <v>103</v>
      </c>
      <c r="D92" s="24">
        <v>0.2</v>
      </c>
      <c r="E92" s="15">
        <v>7500000000</v>
      </c>
      <c r="F92" s="15">
        <v>7500000000</v>
      </c>
      <c r="G92" s="14" t="s">
        <v>24</v>
      </c>
      <c r="H92" s="16">
        <v>0.00070180724160456</v>
      </c>
      <c r="I92" s="16">
        <v>0.000637818504241931</v>
      </c>
      <c r="J92" s="14" t="s">
        <v>20</v>
      </c>
    </row>
    <row r="93">
      <c r="B93" s="14">
        <v>84</v>
      </c>
      <c r="C93" s="23" t="s">
        <v>104</v>
      </c>
      <c r="D93" s="24">
        <v>0.2</v>
      </c>
      <c r="E93" s="15">
        <v>1000000000</v>
      </c>
      <c r="F93" s="15">
        <v>1000000000</v>
      </c>
      <c r="G93" s="14" t="s">
        <v>24</v>
      </c>
      <c r="H93" s="16">
        <v>0.037931010439103796</v>
      </c>
      <c r="I93" s="16">
        <v>0.034472571538790082</v>
      </c>
      <c r="J93" s="14" t="s">
        <v>20</v>
      </c>
    </row>
    <row r="94">
      <c r="B94" s="14">
        <v>85</v>
      </c>
      <c r="C94" s="23" t="s">
        <v>105</v>
      </c>
      <c r="D94" s="24">
        <v>0.2309</v>
      </c>
      <c r="E94" s="15">
        <v>296706500</v>
      </c>
      <c r="F94" s="15">
        <v>296706500</v>
      </c>
      <c r="G94" s="14" t="s">
        <v>24</v>
      </c>
      <c r="H94" s="16">
        <v>0.00113535348585314</v>
      </c>
      <c r="I94" s="16">
        <v>0.0010318352664430619</v>
      </c>
      <c r="J94" s="14" t="s">
        <v>20</v>
      </c>
    </row>
    <row r="95">
      <c r="B95" s="14">
        <v>86</v>
      </c>
      <c r="C95" s="23" t="s">
        <v>106</v>
      </c>
      <c r="D95" s="24">
        <v>0.2919</v>
      </c>
      <c r="E95" s="15">
        <v>2411987396</v>
      </c>
      <c r="F95" s="15">
        <v>2410335916</v>
      </c>
      <c r="G95" s="14" t="s">
        <v>20</v>
      </c>
      <c r="H95" s="16">
        <v>0.00419157197623477</v>
      </c>
      <c r="I95" s="16">
        <v>0.0038067883864706621</v>
      </c>
      <c r="J95" s="14" t="s">
        <v>20</v>
      </c>
    </row>
    <row r="96">
      <c r="B96" s="14">
        <v>87</v>
      </c>
      <c r="C96" s="23" t="s">
        <v>107</v>
      </c>
      <c r="D96" s="24">
        <v>0.3358</v>
      </c>
      <c r="E96" s="15">
        <v>998913226</v>
      </c>
      <c r="F96" s="15">
        <v>1177791647</v>
      </c>
      <c r="G96" s="14" t="s">
        <v>19</v>
      </c>
      <c r="H96" s="16">
        <v>0.00195290977813669</v>
      </c>
      <c r="I96" s="16">
        <v>0.0020926767834076325</v>
      </c>
      <c r="J96" s="14" t="s">
        <v>19</v>
      </c>
    </row>
    <row r="97">
      <c r="B97" s="14">
        <v>88</v>
      </c>
      <c r="C97" s="23" t="s">
        <v>108</v>
      </c>
      <c r="D97" s="24">
        <v>0.5286</v>
      </c>
      <c r="E97" s="15">
        <v>26241621726</v>
      </c>
      <c r="F97" s="15">
        <v>26241621726</v>
      </c>
      <c r="G97" s="14" t="s">
        <v>24</v>
      </c>
      <c r="H97" s="16">
        <v>0.00438489527589391</v>
      </c>
      <c r="I97" s="16">
        <v>0.003985093313834287</v>
      </c>
      <c r="J97" s="14" t="s">
        <v>20</v>
      </c>
    </row>
    <row r="98">
      <c r="B98" s="14">
        <v>89</v>
      </c>
      <c r="C98" s="23" t="s">
        <v>109</v>
      </c>
      <c r="D98" s="24">
        <v>0.109</v>
      </c>
      <c r="E98" s="15">
        <v>626541007</v>
      </c>
      <c r="F98" s="15">
        <v>342149147</v>
      </c>
      <c r="G98" s="14" t="s">
        <v>20</v>
      </c>
      <c r="H98" s="16">
        <v>0.00025963888556418</v>
      </c>
      <c r="I98" s="16">
        <v>0.00012885906232729469</v>
      </c>
      <c r="J98" s="14" t="s">
        <v>20</v>
      </c>
    </row>
    <row r="99">
      <c r="B99" s="14">
        <v>90</v>
      </c>
      <c r="C99" s="23" t="s">
        <v>110</v>
      </c>
      <c r="D99" s="24">
        <v>0.3553</v>
      </c>
      <c r="E99" s="15">
        <v>1608186268</v>
      </c>
      <c r="F99" s="15">
        <v>1584989129</v>
      </c>
      <c r="G99" s="14" t="s">
        <v>20</v>
      </c>
      <c r="H99" s="16">
        <v>0.00257974118567181</v>
      </c>
      <c r="I99" s="16">
        <v>0.0023107094761374608</v>
      </c>
      <c r="J99" s="14" t="s">
        <v>20</v>
      </c>
    </row>
    <row r="100">
      <c r="B100" s="14">
        <v>91</v>
      </c>
      <c r="C100" s="23" t="s">
        <v>111</v>
      </c>
      <c r="D100" s="24">
        <v>0.5139</v>
      </c>
      <c r="E100" s="15">
        <v>1272272508</v>
      </c>
      <c r="F100" s="15">
        <v>1272272508</v>
      </c>
      <c r="G100" s="14" t="s">
        <v>24</v>
      </c>
      <c r="H100" s="16">
        <v>0.00023385215841659</v>
      </c>
      <c r="I100" s="16">
        <v>0.00021253020067732364</v>
      </c>
      <c r="J100" s="14" t="s">
        <v>24</v>
      </c>
    </row>
    <row r="101" ht="14.5" customHeight="1">
      <c r="B101" s="30" t="s">
        <v>112</v>
      </c>
      <c r="C101" s="30"/>
      <c r="D101" s="30"/>
      <c r="E101" s="30"/>
      <c r="F101" s="30"/>
      <c r="G101" s="30"/>
      <c r="H101" s="30"/>
      <c r="I101" s="30"/>
      <c r="J101" s="30"/>
    </row>
    <row r="102">
      <c r="B102" s="31"/>
      <c r="C102" s="31"/>
      <c r="D102" s="31"/>
      <c r="E102" s="31"/>
      <c r="F102" s="31"/>
      <c r="G102" s="31"/>
      <c r="H102" s="31"/>
      <c r="I102" s="31"/>
      <c r="J102" s="31"/>
    </row>
    <row r="104">
      <c r="D104" s="26"/>
      <c r="E104" s="26"/>
    </row>
  </sheetData>
  <mergeCells>
    <mergeCell ref="B101:J102"/>
    <mergeCell ref="B8:B9"/>
    <mergeCell ref="C8:C9"/>
    <mergeCell ref="D8:D9"/>
    <mergeCell ref="E8:G8"/>
    <mergeCell ref="H8:J8"/>
  </mergeCells>
  <conditionalFormatting sqref="B101">
    <cfRule type="expression" dxfId="0" priority="2">
      <formula>$H101="Baru"</formula>
    </cfRule>
  </conditionalFormatting>
  <conditionalFormatting sqref="B10:J100">
    <cfRule type="expression" dxfId="0" priority="1">
      <formula>$J10="Baru"</formula>
    </cfRule>
  </conditionalFormatting>
  <pageMargins left="0.7" right="0.7" top="0.75" bottom="0.75" header="0.3" footer="0.3"/>
  <pageSetup orientation="portrait"/>
  <headerFooter>
    <oddFooter>&amp;L_x000D_&amp;1#&amp;"Calibri"&amp;10&amp;K000000 Kode 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25"/>
  <sheetViews>
    <sheetView zoomScale="125" workbookViewId="0">
      <selection activeCell="C10" sqref="C10"/>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6384" width="8.81640625" customWidth="1" style="6"/>
  </cols>
  <sheetData>
    <row r="2">
      <c r="B2" s="32" t="str">
        <f>LEFT('A ENERGY'!B2,9) &amp; (VALUE(MID('A ENERGY'!B2,10,1))+1) &amp; _xlfn.TEXTAFTER('A ENERGY'!B2,"Lampiran 5")</f>
        <v>Lampiran 6 Pengumuman BEI No. Peng-00044/BEI.POP/03-2026 tanggal 25 Maret 2026</v>
      </c>
      <c r="C2" s="32"/>
      <c r="D2" s="32"/>
      <c r="E2" s="32"/>
      <c r="F2" s="32"/>
      <c r="G2" s="32"/>
      <c r="H2" s="32"/>
    </row>
    <row r="3">
      <c r="B3" s="5" t="s">
        <v>1</v>
      </c>
      <c r="F3" s="22"/>
      <c r="G3" s="22" t="s">
        <v>113</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114</v>
      </c>
      <c r="D10" s="24">
        <v>0.1338</v>
      </c>
      <c r="E10" s="15">
        <v>520372225</v>
      </c>
      <c r="F10" s="15">
        <v>520372225</v>
      </c>
      <c r="G10" s="14" t="s">
        <v>24</v>
      </c>
      <c r="H10" s="16">
        <v>0.00032964370522021004</v>
      </c>
      <c r="I10" s="16">
        <v>0.00029147216807924055</v>
      </c>
      <c r="J10" s="14" t="s">
        <v>24</v>
      </c>
    </row>
    <row r="11">
      <c r="B11" s="14">
        <v>2</v>
      </c>
      <c r="C11" s="23" t="s">
        <v>115</v>
      </c>
      <c r="D11" s="24">
        <v>0.0755</v>
      </c>
      <c r="E11" s="15">
        <v>231532830</v>
      </c>
      <c r="F11" s="15">
        <v>231532830</v>
      </c>
      <c r="G11" s="14" t="s">
        <v>24</v>
      </c>
      <c r="H11" s="16">
        <v>0.00254428703501899</v>
      </c>
      <c r="I11" s="16">
        <v>0.0022496678886246438</v>
      </c>
      <c r="J11" s="14" t="s">
        <v>20</v>
      </c>
    </row>
    <row r="12">
      <c r="B12" s="14">
        <v>3</v>
      </c>
      <c r="C12" s="23" t="s">
        <v>116</v>
      </c>
      <c r="D12" s="24">
        <v>0.1713</v>
      </c>
      <c r="E12" s="15">
        <v>103776036</v>
      </c>
      <c r="F12" s="15">
        <v>104878082</v>
      </c>
      <c r="G12" s="14" t="s">
        <v>19</v>
      </c>
      <c r="H12" s="16">
        <v>0.00016636170467828002</v>
      </c>
      <c r="I12" s="16">
        <v>0.00014865972555613702</v>
      </c>
      <c r="J12" s="14" t="s">
        <v>20</v>
      </c>
    </row>
    <row r="13">
      <c r="B13" s="14">
        <v>4</v>
      </c>
      <c r="C13" s="23" t="s">
        <v>117</v>
      </c>
      <c r="D13" s="24">
        <v>0.1324</v>
      </c>
      <c r="E13" s="15">
        <v>357304428</v>
      </c>
      <c r="F13" s="15">
        <v>357574500</v>
      </c>
      <c r="G13" s="14" t="s">
        <v>19</v>
      </c>
      <c r="H13" s="16">
        <v>0.00065824544383785006</v>
      </c>
      <c r="I13" s="16">
        <v>0.00058246295273047292</v>
      </c>
      <c r="J13" s="14" t="s">
        <v>20</v>
      </c>
    </row>
    <row r="14">
      <c r="B14" s="14">
        <v>5</v>
      </c>
      <c r="C14" s="23" t="s">
        <v>118</v>
      </c>
      <c r="D14" s="24">
        <v>0.1194</v>
      </c>
      <c r="E14" s="15">
        <v>60615208</v>
      </c>
      <c r="F14" s="15">
        <v>60615208</v>
      </c>
      <c r="G14" s="14" t="s">
        <v>24</v>
      </c>
      <c r="H14" s="16">
        <v>0.00018219613339323998</v>
      </c>
      <c r="I14" s="16">
        <v>0.00016109848541335638</v>
      </c>
      <c r="J14" s="14" t="s">
        <v>24</v>
      </c>
    </row>
    <row r="15">
      <c r="B15" s="14">
        <v>6</v>
      </c>
      <c r="C15" s="23" t="s">
        <v>119</v>
      </c>
      <c r="D15" s="24">
        <v>0.025</v>
      </c>
      <c r="E15" s="15">
        <v>95400000</v>
      </c>
      <c r="F15" s="15">
        <v>95400000</v>
      </c>
      <c r="G15" s="14" t="s">
        <v>24</v>
      </c>
      <c r="H15" s="16">
        <v>2.281679824135E-05</v>
      </c>
      <c r="I15" s="16">
        <v>2.0174696336653595E-05</v>
      </c>
      <c r="J15" s="14" t="s">
        <v>24</v>
      </c>
    </row>
    <row r="16">
      <c r="B16" s="14">
        <v>7</v>
      </c>
      <c r="C16" s="23" t="s">
        <v>120</v>
      </c>
      <c r="D16" s="24">
        <v>0.1869</v>
      </c>
      <c r="E16" s="15">
        <v>4606889240</v>
      </c>
      <c r="F16" s="15">
        <v>6982951978</v>
      </c>
      <c r="G16" s="14" t="s">
        <v>19</v>
      </c>
      <c r="H16" s="16">
        <v>0.0671519951576669</v>
      </c>
      <c r="I16" s="16">
        <v>0.09</v>
      </c>
      <c r="J16" s="14" t="s">
        <v>19</v>
      </c>
    </row>
    <row r="17">
      <c r="B17" s="14">
        <v>8</v>
      </c>
      <c r="C17" s="23" t="s">
        <v>121</v>
      </c>
      <c r="D17" s="24">
        <v>0.3484</v>
      </c>
      <c r="E17" s="15">
        <v>8372318430</v>
      </c>
      <c r="F17" s="15">
        <v>8372318430</v>
      </c>
      <c r="G17" s="14" t="s">
        <v>24</v>
      </c>
      <c r="H17" s="16">
        <v>0.0984967110833359</v>
      </c>
      <c r="I17" s="16">
        <v>0.087091151672159861</v>
      </c>
      <c r="J17" s="14" t="s">
        <v>20</v>
      </c>
    </row>
    <row r="18" s="7" customFormat="1">
      <c r="B18" s="14">
        <v>9</v>
      </c>
      <c r="C18" s="23" t="s">
        <v>122</v>
      </c>
      <c r="D18" s="24">
        <v>0.0782</v>
      </c>
      <c r="E18" s="15">
        <v>106560903</v>
      </c>
      <c r="F18" s="15">
        <v>106560903</v>
      </c>
      <c r="G18" s="14" t="s">
        <v>24</v>
      </c>
      <c r="H18" s="16">
        <v>8.679066990908E-05</v>
      </c>
      <c r="I18" s="16">
        <v>7.6740627656701556E-05</v>
      </c>
      <c r="J18" s="14" t="s">
        <v>24</v>
      </c>
      <c r="L18" s="6"/>
    </row>
    <row r="19" s="7" customFormat="1">
      <c r="B19" s="14">
        <v>10</v>
      </c>
      <c r="C19" s="23" t="s">
        <v>123</v>
      </c>
      <c r="D19" s="24">
        <v>0.1589</v>
      </c>
      <c r="E19" s="15">
        <v>3805438000</v>
      </c>
      <c r="F19" s="15">
        <v>4009841500</v>
      </c>
      <c r="G19" s="14" t="s">
        <v>19</v>
      </c>
      <c r="H19" s="16">
        <v>0.0207857626071569</v>
      </c>
      <c r="I19" s="16">
        <v>0.019366039932692154</v>
      </c>
      <c r="J19" s="14" t="s">
        <v>20</v>
      </c>
      <c r="L19" s="6"/>
    </row>
    <row r="20">
      <c r="B20" s="14">
        <v>11</v>
      </c>
      <c r="C20" s="23" t="s">
        <v>124</v>
      </c>
      <c r="D20" s="24">
        <v>0.2994</v>
      </c>
      <c r="E20" s="15">
        <v>811972800</v>
      </c>
      <c r="F20" s="15">
        <v>811972800</v>
      </c>
      <c r="G20" s="14" t="s">
        <v>24</v>
      </c>
      <c r="H20" s="16">
        <v>0.00040152031162174</v>
      </c>
      <c r="I20" s="16">
        <v>0.00035502572597090792</v>
      </c>
      <c r="J20" s="14" t="s">
        <v>24</v>
      </c>
    </row>
    <row r="21">
      <c r="B21" s="14">
        <v>12</v>
      </c>
      <c r="C21" s="23" t="s">
        <v>125</v>
      </c>
      <c r="D21" s="24">
        <v>0.1408</v>
      </c>
      <c r="E21" s="15">
        <v>9001851629</v>
      </c>
      <c r="F21" s="15">
        <v>8723060628</v>
      </c>
      <c r="G21" s="14" t="s">
        <v>20</v>
      </c>
      <c r="H21" s="16">
        <v>0.0112303621895207</v>
      </c>
      <c r="I21" s="16">
        <v>0.0096223933837667631</v>
      </c>
      <c r="J21" s="14" t="s">
        <v>20</v>
      </c>
    </row>
    <row r="22">
      <c r="B22" s="14">
        <v>13</v>
      </c>
      <c r="C22" s="23" t="s">
        <v>126</v>
      </c>
      <c r="D22" s="24">
        <v>0.3031</v>
      </c>
      <c r="E22" s="15">
        <v>178706826</v>
      </c>
      <c r="F22" s="15">
        <v>258672583</v>
      </c>
      <c r="G22" s="14" t="s">
        <v>19</v>
      </c>
      <c r="H22" s="16">
        <v>0.00010512043203033</v>
      </c>
      <c r="I22" s="16">
        <v>0.00013453915622452597</v>
      </c>
      <c r="J22" s="14" t="s">
        <v>24</v>
      </c>
    </row>
    <row r="23">
      <c r="B23" s="14">
        <v>14</v>
      </c>
      <c r="C23" s="23" t="s">
        <v>127</v>
      </c>
      <c r="D23" s="24">
        <v>0.2222</v>
      </c>
      <c r="E23" s="15">
        <v>399960000</v>
      </c>
      <c r="F23" s="15">
        <v>399960000</v>
      </c>
      <c r="G23" s="14" t="s">
        <v>24</v>
      </c>
      <c r="H23" s="16">
        <v>0.00016804845334004</v>
      </c>
      <c r="I23" s="16">
        <v>0.00014858905619086584</v>
      </c>
      <c r="J23" s="14" t="s">
        <v>20</v>
      </c>
    </row>
    <row r="24">
      <c r="B24" s="14">
        <v>15</v>
      </c>
      <c r="C24" s="23" t="s">
        <v>128</v>
      </c>
      <c r="D24" s="24">
        <v>0.2449</v>
      </c>
      <c r="E24" s="15">
        <v>609847530</v>
      </c>
      <c r="F24" s="15">
        <v>740831648</v>
      </c>
      <c r="G24" s="14" t="s">
        <v>19</v>
      </c>
      <c r="H24" s="16">
        <v>0.00015768335939708998</v>
      </c>
      <c r="I24" s="16">
        <v>0.00016936997597521582</v>
      </c>
      <c r="J24" s="14" t="s">
        <v>24</v>
      </c>
    </row>
    <row r="25">
      <c r="B25" s="14">
        <v>16</v>
      </c>
      <c r="C25" s="23" t="s">
        <v>129</v>
      </c>
      <c r="D25" s="24">
        <v>0.5839</v>
      </c>
      <c r="E25" s="15">
        <v>26275500000</v>
      </c>
      <c r="F25" s="15">
        <v>26275500000</v>
      </c>
      <c r="G25" s="14" t="s">
        <v>24</v>
      </c>
      <c r="H25" s="16">
        <v>0.00042461526303940996</v>
      </c>
      <c r="I25" s="16">
        <v>0.00037544636636193377</v>
      </c>
      <c r="J25" s="14" t="s">
        <v>24</v>
      </c>
    </row>
    <row r="26">
      <c r="B26" s="14">
        <v>17</v>
      </c>
      <c r="C26" s="23" t="s">
        <v>130</v>
      </c>
      <c r="D26" s="24">
        <v>0.0771</v>
      </c>
      <c r="E26" s="15">
        <v>685434913</v>
      </c>
      <c r="F26" s="15">
        <v>685434913</v>
      </c>
      <c r="G26" s="14" t="s">
        <v>24</v>
      </c>
      <c r="H26" s="16">
        <v>0.00026584106947983</v>
      </c>
      <c r="I26" s="16">
        <v>0.00023505764469135553</v>
      </c>
      <c r="J26" s="14" t="s">
        <v>20</v>
      </c>
    </row>
    <row r="27">
      <c r="B27" s="14">
        <v>18</v>
      </c>
      <c r="C27" s="23" t="s">
        <v>131</v>
      </c>
      <c r="D27" s="24">
        <v>0.4088</v>
      </c>
      <c r="E27" s="15">
        <v>473880970</v>
      </c>
      <c r="F27" s="15">
        <v>473880970</v>
      </c>
      <c r="G27" s="14" t="s">
        <v>24</v>
      </c>
      <c r="H27" s="16">
        <v>0.00046560481200114004</v>
      </c>
      <c r="I27" s="16">
        <v>0.00041168947509215829</v>
      </c>
      <c r="J27" s="14" t="s">
        <v>20</v>
      </c>
    </row>
    <row r="28">
      <c r="B28" s="14">
        <v>19</v>
      </c>
      <c r="C28" s="23" t="s">
        <v>132</v>
      </c>
      <c r="D28" s="24">
        <v>0.4722</v>
      </c>
      <c r="E28" s="15">
        <v>25072892768</v>
      </c>
      <c r="F28" s="15">
        <v>46656464330</v>
      </c>
      <c r="G28" s="14" t="s">
        <v>19</v>
      </c>
      <c r="H28" s="16">
        <v>0.054699432905513594</v>
      </c>
      <c r="I28" s="16">
        <v>0.09</v>
      </c>
      <c r="J28" s="14" t="s">
        <v>19</v>
      </c>
    </row>
    <row r="29">
      <c r="B29" s="14">
        <v>20</v>
      </c>
      <c r="C29" s="23" t="s">
        <v>133</v>
      </c>
      <c r="D29" s="24">
        <v>0.2366</v>
      </c>
      <c r="E29" s="15">
        <v>231657426</v>
      </c>
      <c r="F29" s="15">
        <v>231657426</v>
      </c>
      <c r="G29" s="14" t="s">
        <v>24</v>
      </c>
      <c r="H29" s="16">
        <v>0.00051661846529623</v>
      </c>
      <c r="I29" s="16">
        <v>0.00045679593381207895</v>
      </c>
      <c r="J29" s="14" t="s">
        <v>24</v>
      </c>
    </row>
    <row r="30">
      <c r="B30" s="14">
        <v>21</v>
      </c>
      <c r="C30" s="23" t="s">
        <v>134</v>
      </c>
      <c r="D30" s="24">
        <v>0.2677</v>
      </c>
      <c r="E30" s="15">
        <v>8212280820</v>
      </c>
      <c r="F30" s="15">
        <v>25096130270</v>
      </c>
      <c r="G30" s="14" t="s">
        <v>19</v>
      </c>
      <c r="H30" s="16">
        <v>0.0331778632237042</v>
      </c>
      <c r="I30" s="16">
        <v>0.089648635799123286</v>
      </c>
      <c r="J30" s="14" t="s">
        <v>19</v>
      </c>
    </row>
    <row r="31">
      <c r="B31" s="14">
        <v>22</v>
      </c>
      <c r="C31" s="23" t="s">
        <v>135</v>
      </c>
      <c r="D31" s="24">
        <v>0.102</v>
      </c>
      <c r="E31" s="15">
        <v>73512000</v>
      </c>
      <c r="F31" s="15">
        <v>73440000</v>
      </c>
      <c r="G31" s="14" t="s">
        <v>20</v>
      </c>
      <c r="H31" s="16">
        <v>8.83844342034E-05</v>
      </c>
      <c r="I31" s="16">
        <v>7.8073297072716371E-05</v>
      </c>
      <c r="J31" s="14" t="s">
        <v>24</v>
      </c>
    </row>
    <row r="32">
      <c r="B32" s="14">
        <v>23</v>
      </c>
      <c r="C32" s="23" t="s">
        <v>136</v>
      </c>
      <c r="D32" s="24">
        <v>0.2941</v>
      </c>
      <c r="E32" s="15">
        <v>499974292</v>
      </c>
      <c r="F32" s="15">
        <v>499974292</v>
      </c>
      <c r="G32" s="14" t="s">
        <v>24</v>
      </c>
      <c r="H32" s="16">
        <v>0.00012119467689131999</v>
      </c>
      <c r="I32" s="16">
        <v>0.00010716077595569907</v>
      </c>
      <c r="J32" s="14" t="s">
        <v>24</v>
      </c>
    </row>
    <row r="33">
      <c r="B33" s="14">
        <v>24</v>
      </c>
      <c r="C33" s="23" t="s">
        <v>137</v>
      </c>
      <c r="D33" s="24">
        <v>0.0769</v>
      </c>
      <c r="E33" s="15">
        <v>304551780</v>
      </c>
      <c r="F33" s="15">
        <v>304551780</v>
      </c>
      <c r="G33" s="14" t="s">
        <v>24</v>
      </c>
      <c r="H33" s="16">
        <v>0.00396680448874801</v>
      </c>
      <c r="I33" s="16">
        <v>0.0035074630179784904</v>
      </c>
      <c r="J33" s="14" t="s">
        <v>20</v>
      </c>
    </row>
    <row r="34">
      <c r="B34" s="14">
        <v>25</v>
      </c>
      <c r="C34" s="23" t="s">
        <v>138</v>
      </c>
      <c r="D34" s="24">
        <v>0.2521</v>
      </c>
      <c r="E34" s="15">
        <v>77534274</v>
      </c>
      <c r="F34" s="15">
        <v>77227936</v>
      </c>
      <c r="G34" s="14" t="s">
        <v>20</v>
      </c>
      <c r="H34" s="16">
        <v>0.00038465972094793</v>
      </c>
      <c r="I34" s="16">
        <v>0.00033877372473331097</v>
      </c>
      <c r="J34" s="14" t="s">
        <v>20</v>
      </c>
    </row>
    <row r="35">
      <c r="B35" s="14">
        <v>26</v>
      </c>
      <c r="C35" s="23" t="s">
        <v>139</v>
      </c>
      <c r="D35" s="24">
        <v>0.1055</v>
      </c>
      <c r="E35" s="15">
        <v>1806740672</v>
      </c>
      <c r="F35" s="15">
        <v>1806740672</v>
      </c>
      <c r="G35" s="14" t="s">
        <v>24</v>
      </c>
      <c r="H35" s="16">
        <v>0.00411679788630562</v>
      </c>
      <c r="I35" s="16">
        <v>0.0036400877264661496</v>
      </c>
      <c r="J35" s="14" t="s">
        <v>20</v>
      </c>
    </row>
    <row r="36">
      <c r="B36" s="14">
        <v>27</v>
      </c>
      <c r="C36" s="23" t="s">
        <v>140</v>
      </c>
      <c r="D36" s="24">
        <v>0.1131</v>
      </c>
      <c r="E36" s="15">
        <v>90522017</v>
      </c>
      <c r="F36" s="15">
        <v>90522017</v>
      </c>
      <c r="G36" s="14" t="s">
        <v>24</v>
      </c>
      <c r="H36" s="16">
        <v>0.0017115307099539701</v>
      </c>
      <c r="I36" s="16">
        <v>0.0015133416987530763</v>
      </c>
      <c r="J36" s="14" t="s">
        <v>20</v>
      </c>
    </row>
    <row r="37">
      <c r="B37" s="14">
        <v>28</v>
      </c>
      <c r="C37" s="23" t="s">
        <v>141</v>
      </c>
      <c r="D37" s="24">
        <v>0.1502</v>
      </c>
      <c r="E37" s="15">
        <v>299949400</v>
      </c>
      <c r="F37" s="15">
        <v>299949400</v>
      </c>
      <c r="G37" s="14" t="s">
        <v>24</v>
      </c>
      <c r="H37" s="16">
        <v>0.0024042204455191297</v>
      </c>
      <c r="I37" s="16">
        <v>0.0021258204986368042</v>
      </c>
      <c r="J37" s="14" t="s">
        <v>20</v>
      </c>
    </row>
    <row r="38">
      <c r="B38" s="14">
        <v>29</v>
      </c>
      <c r="C38" s="23" t="s">
        <v>142</v>
      </c>
      <c r="D38" s="24">
        <v>0.1491</v>
      </c>
      <c r="E38" s="15">
        <v>877058832</v>
      </c>
      <c r="F38" s="15">
        <v>877058832</v>
      </c>
      <c r="G38" s="14" t="s">
        <v>24</v>
      </c>
      <c r="H38" s="16">
        <v>0.00097512833573363</v>
      </c>
      <c r="I38" s="16">
        <v>0.00086221203612034359</v>
      </c>
      <c r="J38" s="14" t="s">
        <v>20</v>
      </c>
    </row>
    <row r="39">
      <c r="B39" s="14">
        <v>30</v>
      </c>
      <c r="C39" s="23" t="s">
        <v>143</v>
      </c>
      <c r="D39" s="24">
        <v>0.3247</v>
      </c>
      <c r="E39" s="15">
        <v>1869642573</v>
      </c>
      <c r="F39" s="15">
        <v>1830738671</v>
      </c>
      <c r="G39" s="14" t="s">
        <v>20</v>
      </c>
      <c r="H39" s="16">
        <v>0.00419969741532778</v>
      </c>
      <c r="I39" s="16">
        <v>0.0036361188662133973</v>
      </c>
      <c r="J39" s="14" t="s">
        <v>20</v>
      </c>
    </row>
    <row r="40">
      <c r="B40" s="14">
        <v>31</v>
      </c>
      <c r="C40" s="23" t="s">
        <v>144</v>
      </c>
      <c r="D40" s="24">
        <v>0.3511</v>
      </c>
      <c r="E40" s="15">
        <v>116259726</v>
      </c>
      <c r="F40" s="15">
        <v>116259726</v>
      </c>
      <c r="G40" s="14" t="s">
        <v>24</v>
      </c>
      <c r="H40" s="16">
        <v>0.00011648381787047</v>
      </c>
      <c r="I40" s="16">
        <v>0.00010299541731439495</v>
      </c>
      <c r="J40" s="14" t="s">
        <v>24</v>
      </c>
    </row>
    <row r="41">
      <c r="B41" s="14">
        <v>32</v>
      </c>
      <c r="C41" s="23" t="s">
        <v>145</v>
      </c>
      <c r="D41" s="24">
        <v>0.1683</v>
      </c>
      <c r="E41" s="15">
        <v>593259975</v>
      </c>
      <c r="F41" s="15">
        <v>588019163</v>
      </c>
      <c r="G41" s="14" t="s">
        <v>20</v>
      </c>
      <c r="H41" s="16">
        <v>0.00034322007969426</v>
      </c>
      <c r="I41" s="16">
        <v>0.00030079556062654895</v>
      </c>
      <c r="J41" s="14" t="s">
        <v>24</v>
      </c>
    </row>
    <row r="42">
      <c r="B42" s="14">
        <v>33</v>
      </c>
      <c r="C42" s="23" t="s">
        <v>146</v>
      </c>
      <c r="D42" s="24">
        <v>0.3123</v>
      </c>
      <c r="E42" s="15">
        <v>4815237244</v>
      </c>
      <c r="F42" s="15">
        <v>3470315529</v>
      </c>
      <c r="G42" s="14" t="s">
        <v>20</v>
      </c>
      <c r="H42" s="16">
        <v>0.141233893191724</v>
      </c>
      <c r="I42" s="16">
        <v>0.09</v>
      </c>
      <c r="J42" s="14" t="s">
        <v>20</v>
      </c>
    </row>
    <row r="43">
      <c r="B43" s="14">
        <v>34</v>
      </c>
      <c r="C43" s="23" t="s">
        <v>147</v>
      </c>
      <c r="D43" s="24">
        <v>0.2228</v>
      </c>
      <c r="E43" s="15">
        <v>714195080</v>
      </c>
      <c r="F43" s="15">
        <v>735997520</v>
      </c>
      <c r="G43" s="14" t="s">
        <v>19</v>
      </c>
      <c r="H43" s="16">
        <v>9.0023536286429993E-05</v>
      </c>
      <c r="I43" s="16">
        <v>8.2029085550268445E-05</v>
      </c>
      <c r="J43" s="14" t="s">
        <v>24</v>
      </c>
    </row>
    <row r="44">
      <c r="B44" s="14">
        <v>35</v>
      </c>
      <c r="C44" s="23" t="s">
        <v>148</v>
      </c>
      <c r="D44" s="24">
        <v>0.3615</v>
      </c>
      <c r="E44" s="15">
        <v>401248316</v>
      </c>
      <c r="F44" s="15">
        <v>401248316</v>
      </c>
      <c r="G44" s="14" t="s">
        <v>24</v>
      </c>
      <c r="H44" s="16">
        <v>7.392012389351E-05</v>
      </c>
      <c r="I44" s="16">
        <v>6.53604434677637E-05</v>
      </c>
      <c r="J44" s="14" t="s">
        <v>24</v>
      </c>
    </row>
    <row r="45">
      <c r="B45" s="14">
        <v>36</v>
      </c>
      <c r="C45" s="23" t="s">
        <v>149</v>
      </c>
      <c r="D45" s="24">
        <v>0.5395</v>
      </c>
      <c r="E45" s="15">
        <v>9293953390</v>
      </c>
      <c r="F45" s="15">
        <v>9293953390</v>
      </c>
      <c r="G45" s="14" t="s">
        <v>24</v>
      </c>
      <c r="H45" s="16">
        <v>0.022378520486470398</v>
      </c>
      <c r="I45" s="16">
        <v>0.019787169545427492</v>
      </c>
      <c r="J45" s="14" t="s">
        <v>20</v>
      </c>
    </row>
    <row r="46">
      <c r="B46" s="14">
        <v>37</v>
      </c>
      <c r="C46" s="23" t="s">
        <v>150</v>
      </c>
      <c r="D46" s="24">
        <v>0.1562</v>
      </c>
      <c r="E46" s="15">
        <v>729246473</v>
      </c>
      <c r="F46" s="15">
        <v>729246473</v>
      </c>
      <c r="G46" s="14" t="s">
        <v>24</v>
      </c>
      <c r="H46" s="16">
        <v>0.00016498595883421</v>
      </c>
      <c r="I46" s="16">
        <v>0.00014588118729993662</v>
      </c>
      <c r="J46" s="14" t="s">
        <v>20</v>
      </c>
    </row>
    <row r="47">
      <c r="B47" s="14">
        <v>38</v>
      </c>
      <c r="C47" s="23" t="s">
        <v>151</v>
      </c>
      <c r="D47" s="24">
        <v>0.0017</v>
      </c>
      <c r="E47" s="15">
        <v>5476134</v>
      </c>
      <c r="F47" s="15">
        <v>5476134</v>
      </c>
      <c r="G47" s="14" t="s">
        <v>24</v>
      </c>
      <c r="H47" s="16">
        <v>9.336221320948E-05</v>
      </c>
      <c r="I47" s="16">
        <v>8.2551213200748413E-05</v>
      </c>
      <c r="J47" s="14" t="s">
        <v>24</v>
      </c>
    </row>
    <row r="48" s="7" customFormat="1">
      <c r="B48" s="14">
        <v>39</v>
      </c>
      <c r="C48" s="23" t="s">
        <v>152</v>
      </c>
      <c r="D48" s="24">
        <v>0.075</v>
      </c>
      <c r="E48" s="15">
        <v>417481050</v>
      </c>
      <c r="F48" s="15">
        <v>417481050</v>
      </c>
      <c r="G48" s="14" t="s">
        <v>24</v>
      </c>
      <c r="H48" s="16">
        <v>0.00049114842810175008</v>
      </c>
      <c r="I48" s="16">
        <v>0.00043427523390289193</v>
      </c>
      <c r="J48" s="14" t="s">
        <v>20</v>
      </c>
      <c r="L48" s="6"/>
    </row>
    <row r="49" s="7" customFormat="1">
      <c r="B49" s="14">
        <v>40</v>
      </c>
      <c r="C49" s="23" t="s">
        <v>153</v>
      </c>
      <c r="D49" s="24">
        <v>0.1803</v>
      </c>
      <c r="E49" s="15">
        <v>341365700</v>
      </c>
      <c r="F49" s="15">
        <v>353928900</v>
      </c>
      <c r="G49" s="14" t="s">
        <v>19</v>
      </c>
      <c r="H49" s="16">
        <v>0.0001357061722081</v>
      </c>
      <c r="I49" s="16">
        <v>0.00012440792596162643</v>
      </c>
      <c r="J49" s="14" t="s">
        <v>24</v>
      </c>
      <c r="L49" s="6"/>
    </row>
    <row r="50">
      <c r="B50" s="14">
        <v>41</v>
      </c>
      <c r="C50" s="23" t="s">
        <v>154</v>
      </c>
      <c r="D50" s="24">
        <v>0.1087</v>
      </c>
      <c r="E50" s="15">
        <v>1004659750</v>
      </c>
      <c r="F50" s="15">
        <v>1004659750</v>
      </c>
      <c r="G50" s="14" t="s">
        <v>24</v>
      </c>
      <c r="H50" s="16">
        <v>0.00032146138065593</v>
      </c>
      <c r="I50" s="16">
        <v>0.00028423732681921406</v>
      </c>
      <c r="J50" s="14" t="s">
        <v>24</v>
      </c>
    </row>
    <row r="51">
      <c r="B51" s="14">
        <v>42</v>
      </c>
      <c r="C51" s="23" t="s">
        <v>155</v>
      </c>
      <c r="D51" s="24">
        <v>0.0797</v>
      </c>
      <c r="E51" s="15">
        <v>965276680</v>
      </c>
      <c r="F51" s="15">
        <v>965276680</v>
      </c>
      <c r="G51" s="14" t="s">
        <v>24</v>
      </c>
      <c r="H51" s="16">
        <v>0.00092969968976753</v>
      </c>
      <c r="I51" s="16">
        <v>0.0008220438609029087</v>
      </c>
      <c r="J51" s="14" t="s">
        <v>20</v>
      </c>
    </row>
    <row r="52">
      <c r="B52" s="14">
        <v>43</v>
      </c>
      <c r="C52" s="23" t="s">
        <v>156</v>
      </c>
      <c r="D52" s="24">
        <v>1</v>
      </c>
      <c r="E52" s="15">
        <v>3218528250</v>
      </c>
      <c r="F52" s="15">
        <v>3221750000</v>
      </c>
      <c r="G52" s="14" t="s">
        <v>19</v>
      </c>
      <c r="H52" s="16">
        <v>0.00052011806415616</v>
      </c>
      <c r="I52" s="16">
        <v>0.00046035064254783357</v>
      </c>
      <c r="J52" s="14" t="s">
        <v>24</v>
      </c>
    </row>
    <row r="53">
      <c r="B53" s="14">
        <v>44</v>
      </c>
      <c r="C53" s="23" t="s">
        <v>157</v>
      </c>
      <c r="D53" s="24">
        <v>0.0797</v>
      </c>
      <c r="E53" s="15">
        <v>750136400</v>
      </c>
      <c r="F53" s="15">
        <v>750136400</v>
      </c>
      <c r="G53" s="14" t="s">
        <v>24</v>
      </c>
      <c r="H53" s="16">
        <v>0.00053338098423485992</v>
      </c>
      <c r="I53" s="16">
        <v>0.00047161741427779384</v>
      </c>
      <c r="J53" s="14" t="s">
        <v>24</v>
      </c>
    </row>
    <row r="54">
      <c r="B54" s="14">
        <v>45</v>
      </c>
      <c r="C54" s="23" t="s">
        <v>158</v>
      </c>
      <c r="D54" s="24">
        <v>0.1006</v>
      </c>
      <c r="E54" s="15">
        <v>213775000</v>
      </c>
      <c r="F54" s="15">
        <v>213775000</v>
      </c>
      <c r="G54" s="14" t="s">
        <v>24</v>
      </c>
      <c r="H54" s="16">
        <v>0.00224550943299126</v>
      </c>
      <c r="I54" s="16">
        <v>0.0019854876417143177</v>
      </c>
      <c r="J54" s="14" t="s">
        <v>20</v>
      </c>
    </row>
    <row r="55">
      <c r="B55" s="14">
        <v>46</v>
      </c>
      <c r="C55" s="23" t="s">
        <v>159</v>
      </c>
      <c r="D55" s="24">
        <v>0.107</v>
      </c>
      <c r="E55" s="15">
        <v>143713215</v>
      </c>
      <c r="F55" s="15">
        <v>99272524</v>
      </c>
      <c r="G55" s="14" t="s">
        <v>20</v>
      </c>
      <c r="H55" s="16">
        <v>0.00022573951209666003</v>
      </c>
      <c r="I55" s="16">
        <v>0.00013787713365201064</v>
      </c>
      <c r="J55" s="14" t="s">
        <v>20</v>
      </c>
    </row>
    <row r="56">
      <c r="B56" s="14">
        <v>47</v>
      </c>
      <c r="C56" s="23" t="s">
        <v>160</v>
      </c>
      <c r="D56" s="24">
        <v>0.2216</v>
      </c>
      <c r="E56" s="15">
        <v>140405760</v>
      </c>
      <c r="F56" s="15">
        <v>140405760</v>
      </c>
      <c r="G56" s="14" t="s">
        <v>24</v>
      </c>
      <c r="H56" s="16">
        <v>8.848998952908E-05</v>
      </c>
      <c r="I56" s="16">
        <v>7.8243171925297108E-05</v>
      </c>
      <c r="J56" s="14" t="s">
        <v>24</v>
      </c>
    </row>
    <row r="57">
      <c r="B57" s="14">
        <v>48</v>
      </c>
      <c r="C57" s="23" t="s">
        <v>161</v>
      </c>
      <c r="D57" s="24">
        <v>0.417</v>
      </c>
      <c r="E57" s="15">
        <v>599800484</v>
      </c>
      <c r="F57" s="15">
        <v>599800484</v>
      </c>
      <c r="G57" s="14" t="s">
        <v>24</v>
      </c>
      <c r="H57" s="16">
        <v>0.00010468276360397001</v>
      </c>
      <c r="I57" s="16">
        <v>9.2560881887006043E-05</v>
      </c>
      <c r="J57" s="14" t="s">
        <v>24</v>
      </c>
    </row>
    <row r="58">
      <c r="B58" s="14">
        <v>49</v>
      </c>
      <c r="C58" s="23" t="s">
        <v>162</v>
      </c>
      <c r="D58" s="24">
        <v>0.2918</v>
      </c>
      <c r="E58" s="15">
        <v>60594201</v>
      </c>
      <c r="F58" s="15">
        <v>60594201</v>
      </c>
      <c r="G58" s="14" t="s">
        <v>24</v>
      </c>
      <c r="H58" s="16">
        <v>0.00013317250948958998</v>
      </c>
      <c r="I58" s="16">
        <v>0.00011775161895440076</v>
      </c>
      <c r="J58" s="14" t="s">
        <v>24</v>
      </c>
    </row>
    <row r="59">
      <c r="B59" s="14">
        <v>50</v>
      </c>
      <c r="C59" s="23" t="s">
        <v>163</v>
      </c>
      <c r="D59" s="24">
        <v>0.204</v>
      </c>
      <c r="E59" s="15">
        <v>2150116045</v>
      </c>
      <c r="F59" s="15">
        <v>2150116045</v>
      </c>
      <c r="G59" s="14" t="s">
        <v>24</v>
      </c>
      <c r="H59" s="16">
        <v>0.037178365257134</v>
      </c>
      <c r="I59" s="16">
        <v>0.0328732463424351</v>
      </c>
      <c r="J59" s="14" t="s">
        <v>20</v>
      </c>
    </row>
    <row r="60">
      <c r="B60" s="14">
        <v>51</v>
      </c>
      <c r="C60" s="23" t="s">
        <v>164</v>
      </c>
      <c r="D60" s="24">
        <v>0.3997</v>
      </c>
      <c r="E60" s="15">
        <v>2215748091</v>
      </c>
      <c r="F60" s="15">
        <v>2186751882</v>
      </c>
      <c r="G60" s="14" t="s">
        <v>20</v>
      </c>
      <c r="H60" s="16">
        <v>0.0642731298353143</v>
      </c>
      <c r="I60" s="16">
        <v>0.056086827891056</v>
      </c>
      <c r="J60" s="14" t="s">
        <v>20</v>
      </c>
    </row>
    <row r="61">
      <c r="B61" s="14">
        <v>52</v>
      </c>
      <c r="C61" s="23" t="s">
        <v>165</v>
      </c>
      <c r="D61" s="24">
        <v>0.0533</v>
      </c>
      <c r="E61" s="15">
        <v>74027479</v>
      </c>
      <c r="F61" s="15">
        <v>74027479</v>
      </c>
      <c r="G61" s="14" t="s">
        <v>24</v>
      </c>
      <c r="H61" s="16">
        <v>0.00014116257735122</v>
      </c>
      <c r="I61" s="16">
        <v>0.000124816466421643</v>
      </c>
      <c r="J61" s="14" t="s">
        <v>24</v>
      </c>
    </row>
    <row r="62">
      <c r="B62" s="14">
        <v>53</v>
      </c>
      <c r="C62" s="23" t="s">
        <v>166</v>
      </c>
      <c r="D62" s="24">
        <v>0.1129</v>
      </c>
      <c r="E62" s="15">
        <v>66817381</v>
      </c>
      <c r="F62" s="15">
        <v>66817381</v>
      </c>
      <c r="G62" s="14" t="s">
        <v>24</v>
      </c>
      <c r="H62" s="16">
        <v>5.6580313295169996E-05</v>
      </c>
      <c r="I62" s="16">
        <v>5.0028519808310933E-05</v>
      </c>
      <c r="J62" s="14" t="s">
        <v>24</v>
      </c>
    </row>
    <row r="63">
      <c r="B63" s="14">
        <v>54</v>
      </c>
      <c r="C63" s="23" t="s">
        <v>167</v>
      </c>
      <c r="D63" s="24">
        <v>0.3979</v>
      </c>
      <c r="E63" s="15">
        <v>1419248850</v>
      </c>
      <c r="F63" s="15">
        <v>1398858354</v>
      </c>
      <c r="G63" s="14" t="s">
        <v>20</v>
      </c>
      <c r="H63" s="16">
        <v>0.024884728179514003</v>
      </c>
      <c r="I63" s="16">
        <v>0.021687045737154343</v>
      </c>
      <c r="J63" s="14" t="s">
        <v>20</v>
      </c>
    </row>
    <row r="64">
      <c r="B64" s="14">
        <v>55</v>
      </c>
      <c r="C64" s="23" t="s">
        <v>168</v>
      </c>
      <c r="D64" s="24">
        <v>0.1347</v>
      </c>
      <c r="E64" s="15">
        <v>867923220</v>
      </c>
      <c r="F64" s="15">
        <v>867923220</v>
      </c>
      <c r="G64" s="14" t="s">
        <v>24</v>
      </c>
      <c r="H64" s="16">
        <v>0.00032820241840438</v>
      </c>
      <c r="I64" s="16">
        <v>0.0002901977769700191</v>
      </c>
      <c r="J64" s="14" t="s">
        <v>24</v>
      </c>
    </row>
    <row r="65">
      <c r="B65" s="14">
        <v>56</v>
      </c>
      <c r="C65" s="23" t="s">
        <v>169</v>
      </c>
      <c r="D65" s="24">
        <v>0.3365</v>
      </c>
      <c r="E65" s="15">
        <v>2417367721</v>
      </c>
      <c r="F65" s="15">
        <v>2418086320</v>
      </c>
      <c r="G65" s="14" t="s">
        <v>19</v>
      </c>
      <c r="H65" s="16">
        <v>0.00359397587965273</v>
      </c>
      <c r="I65" s="16">
        <v>0.0031787512493584007</v>
      </c>
      <c r="J65" s="14" t="s">
        <v>20</v>
      </c>
    </row>
    <row r="66">
      <c r="B66" s="14">
        <v>57</v>
      </c>
      <c r="C66" s="23" t="s">
        <v>170</v>
      </c>
      <c r="D66" s="24">
        <v>0.3334</v>
      </c>
      <c r="E66" s="15">
        <v>221711000</v>
      </c>
      <c r="F66" s="15">
        <v>221711000</v>
      </c>
      <c r="G66" s="14" t="s">
        <v>24</v>
      </c>
      <c r="H66" s="16">
        <v>1.289835582582E-05</v>
      </c>
      <c r="I66" s="16">
        <v>1.1404773328648151E-05</v>
      </c>
      <c r="J66" s="14" t="s">
        <v>24</v>
      </c>
    </row>
    <row r="67">
      <c r="B67" s="14">
        <v>58</v>
      </c>
      <c r="C67" s="23" t="s">
        <v>171</v>
      </c>
      <c r="D67" s="24">
        <v>0.25</v>
      </c>
      <c r="E67" s="15">
        <v>2171998934</v>
      </c>
      <c r="F67" s="15">
        <v>2171998934</v>
      </c>
      <c r="G67" s="14" t="s">
        <v>24</v>
      </c>
      <c r="H67" s="16">
        <v>0.00035099765891485</v>
      </c>
      <c r="I67" s="16">
        <v>0.00031035341185688971</v>
      </c>
      <c r="J67" s="14" t="s">
        <v>20</v>
      </c>
    </row>
    <row r="68">
      <c r="B68" s="14">
        <v>59</v>
      </c>
      <c r="C68" s="23" t="s">
        <v>172</v>
      </c>
      <c r="D68" s="24">
        <v>0.1226</v>
      </c>
      <c r="E68" s="15">
        <v>198612000</v>
      </c>
      <c r="F68" s="15">
        <v>198612000</v>
      </c>
      <c r="G68" s="14" t="s">
        <v>24</v>
      </c>
      <c r="H68" s="16">
        <v>0.00028629578302039</v>
      </c>
      <c r="I68" s="16">
        <v>0.0002531437769578571</v>
      </c>
      <c r="J68" s="14" t="s">
        <v>24</v>
      </c>
    </row>
    <row r="69">
      <c r="B69" s="14">
        <v>60</v>
      </c>
      <c r="C69" s="23" t="s">
        <v>173</v>
      </c>
      <c r="D69" s="24">
        <v>0.3706</v>
      </c>
      <c r="E69" s="15">
        <v>469950000</v>
      </c>
      <c r="F69" s="15">
        <v>555900000</v>
      </c>
      <c r="G69" s="14" t="s">
        <v>19</v>
      </c>
      <c r="H69" s="16">
        <v>4.101002422306E-05</v>
      </c>
      <c r="I69" s="16">
        <v>4.2893091637732278E-05</v>
      </c>
      <c r="J69" s="14" t="s">
        <v>24</v>
      </c>
    </row>
    <row r="70">
      <c r="B70" s="14">
        <v>61</v>
      </c>
      <c r="C70" s="23" t="s">
        <v>174</v>
      </c>
      <c r="D70" s="24">
        <v>0.075</v>
      </c>
      <c r="E70" s="15">
        <v>616152478</v>
      </c>
      <c r="F70" s="15">
        <v>616152478</v>
      </c>
      <c r="G70" s="14" t="s">
        <v>24</v>
      </c>
      <c r="H70" s="16">
        <v>0.00049785493428925994</v>
      </c>
      <c r="I70" s="16">
        <v>0.00044020515147107775</v>
      </c>
      <c r="J70" s="14" t="s">
        <v>20</v>
      </c>
    </row>
    <row r="71">
      <c r="B71" s="14">
        <v>62</v>
      </c>
      <c r="C71" s="23" t="s">
        <v>175</v>
      </c>
      <c r="D71" s="24">
        <v>0.2</v>
      </c>
      <c r="E71" s="15">
        <v>3869279380</v>
      </c>
      <c r="F71" s="15">
        <v>3869279380</v>
      </c>
      <c r="G71" s="14" t="s">
        <v>24</v>
      </c>
      <c r="H71" s="16">
        <v>0.00347655810710234</v>
      </c>
      <c r="I71" s="16">
        <v>0.003073985375406926</v>
      </c>
      <c r="J71" s="14" t="s">
        <v>20</v>
      </c>
    </row>
    <row r="72">
      <c r="B72" s="14">
        <v>63</v>
      </c>
      <c r="C72" s="23" t="s">
        <v>176</v>
      </c>
      <c r="D72" s="24">
        <v>0.1503</v>
      </c>
      <c r="E72" s="15">
        <v>14428800</v>
      </c>
      <c r="F72" s="15">
        <v>14428800</v>
      </c>
      <c r="G72" s="14" t="s">
        <v>24</v>
      </c>
      <c r="H72" s="16">
        <v>1.193836318304E-05</v>
      </c>
      <c r="I72" s="16">
        <v>1.0555944327807623E-05</v>
      </c>
      <c r="J72" s="14" t="s">
        <v>24</v>
      </c>
    </row>
    <row r="73">
      <c r="B73" s="14">
        <v>64</v>
      </c>
      <c r="C73" s="23" t="s">
        <v>177</v>
      </c>
      <c r="D73" s="24">
        <v>0.3574</v>
      </c>
      <c r="E73" s="15">
        <v>557544000</v>
      </c>
      <c r="F73" s="15">
        <v>557544000</v>
      </c>
      <c r="G73" s="14" t="s">
        <v>24</v>
      </c>
      <c r="H73" s="16">
        <v>0.00140555665870117</v>
      </c>
      <c r="I73" s="16">
        <v>0.0012427983310063023</v>
      </c>
      <c r="J73" s="14" t="s">
        <v>20</v>
      </c>
    </row>
    <row r="74">
      <c r="B74" s="14">
        <v>65</v>
      </c>
      <c r="C74" s="23" t="s">
        <v>178</v>
      </c>
      <c r="D74" s="24">
        <v>0.2677</v>
      </c>
      <c r="E74" s="15">
        <v>29201961541</v>
      </c>
      <c r="F74" s="15">
        <v>28910373907</v>
      </c>
      <c r="G74" s="14" t="s">
        <v>20</v>
      </c>
      <c r="H74" s="16">
        <v>0.064651291339718309</v>
      </c>
      <c r="I74" s="16">
        <v>0.056594104477856115</v>
      </c>
      <c r="J74" s="14" t="s">
        <v>20</v>
      </c>
    </row>
    <row r="75">
      <c r="B75" s="14">
        <v>66</v>
      </c>
      <c r="C75" s="23" t="s">
        <v>179</v>
      </c>
      <c r="D75" s="24">
        <v>0.4784</v>
      </c>
      <c r="E75" s="15">
        <v>11666271364</v>
      </c>
      <c r="F75" s="15">
        <v>10291867132</v>
      </c>
      <c r="G75" s="14" t="s">
        <v>20</v>
      </c>
      <c r="H75" s="16">
        <v>0.11537935540542801</v>
      </c>
      <c r="I75" s="16">
        <v>0.09</v>
      </c>
      <c r="J75" s="14" t="s">
        <v>20</v>
      </c>
    </row>
    <row r="76">
      <c r="B76" s="14">
        <v>67</v>
      </c>
      <c r="C76" s="23" t="s">
        <v>180</v>
      </c>
      <c r="D76" s="24">
        <v>0.1121</v>
      </c>
      <c r="E76" s="15">
        <v>283629815</v>
      </c>
      <c r="F76" s="15">
        <v>283629815</v>
      </c>
      <c r="G76" s="14" t="s">
        <v>24</v>
      </c>
      <c r="H76" s="16">
        <v>0.00017600609931223002</v>
      </c>
      <c r="I76" s="16">
        <v>0.00015562523594545382</v>
      </c>
      <c r="J76" s="14" t="s">
        <v>24</v>
      </c>
    </row>
    <row r="77">
      <c r="B77" s="14">
        <v>68</v>
      </c>
      <c r="C77" s="23" t="s">
        <v>181</v>
      </c>
      <c r="D77" s="24">
        <v>0.1497</v>
      </c>
      <c r="E77" s="15">
        <v>612665295</v>
      </c>
      <c r="F77" s="15">
        <v>611439964</v>
      </c>
      <c r="G77" s="14" t="s">
        <v>20</v>
      </c>
      <c r="H77" s="16">
        <v>0.00061780651209043</v>
      </c>
      <c r="I77" s="16">
        <v>0.00054517424079843083</v>
      </c>
      <c r="J77" s="14" t="s">
        <v>20</v>
      </c>
    </row>
    <row r="78" s="7" customFormat="1">
      <c r="B78" s="14">
        <v>69</v>
      </c>
      <c r="C78" s="23" t="s">
        <v>182</v>
      </c>
      <c r="D78" s="24">
        <v>0.0821</v>
      </c>
      <c r="E78" s="15">
        <v>252790595</v>
      </c>
      <c r="F78" s="15">
        <v>223643403</v>
      </c>
      <c r="G78" s="14" t="s">
        <v>20</v>
      </c>
      <c r="H78" s="16">
        <v>0.00016830721750605</v>
      </c>
      <c r="I78" s="16">
        <v>0.00013165890083725789</v>
      </c>
      <c r="J78" s="14" t="s">
        <v>20</v>
      </c>
      <c r="L78" s="6"/>
    </row>
    <row r="79" s="7" customFormat="1">
      <c r="B79" s="14">
        <v>70</v>
      </c>
      <c r="C79" s="23" t="s">
        <v>183</v>
      </c>
      <c r="D79" s="24">
        <v>0.1114</v>
      </c>
      <c r="E79" s="15">
        <v>6587493840</v>
      </c>
      <c r="F79" s="15">
        <v>7029184040</v>
      </c>
      <c r="G79" s="14" t="s">
        <v>19</v>
      </c>
      <c r="H79" s="16">
        <v>0.023952307155694998</v>
      </c>
      <c r="I79" s="16">
        <v>0.022598746414688283</v>
      </c>
      <c r="J79" s="14" t="s">
        <v>20</v>
      </c>
      <c r="L79" s="6"/>
    </row>
    <row r="80" s="7" customFormat="1">
      <c r="B80" s="14">
        <v>71</v>
      </c>
      <c r="C80" s="23" t="s">
        <v>184</v>
      </c>
      <c r="D80" s="24">
        <v>0.1038</v>
      </c>
      <c r="E80" s="15">
        <v>631313676</v>
      </c>
      <c r="F80" s="15">
        <v>631313676</v>
      </c>
      <c r="G80" s="14" t="s">
        <v>24</v>
      </c>
      <c r="H80" s="16">
        <v>0.00058356043357655</v>
      </c>
      <c r="I80" s="16">
        <v>0.00051598626665140849</v>
      </c>
      <c r="J80" s="14" t="s">
        <v>20</v>
      </c>
      <c r="L80" s="6"/>
    </row>
    <row r="81" s="7" customFormat="1">
      <c r="B81" s="14">
        <v>72</v>
      </c>
      <c r="C81" s="23" t="s">
        <v>185</v>
      </c>
      <c r="D81" s="24">
        <v>0.2734</v>
      </c>
      <c r="E81" s="15">
        <v>2907785318</v>
      </c>
      <c r="F81" s="15">
        <v>2907785318</v>
      </c>
      <c r="G81" s="14" t="s">
        <v>24</v>
      </c>
      <c r="H81" s="16">
        <v>0.00789434738245393</v>
      </c>
      <c r="I81" s="16">
        <v>0.0069802107863270223</v>
      </c>
      <c r="J81" s="14" t="s">
        <v>20</v>
      </c>
      <c r="L81" s="6"/>
    </row>
    <row r="82" s="7" customFormat="1">
      <c r="B82" s="14">
        <v>73</v>
      </c>
      <c r="C82" s="23" t="s">
        <v>186</v>
      </c>
      <c r="D82" s="24">
        <v>0.1459</v>
      </c>
      <c r="E82" s="15">
        <v>368156765</v>
      </c>
      <c r="F82" s="15">
        <v>368156765</v>
      </c>
      <c r="G82" s="14" t="s">
        <v>24</v>
      </c>
      <c r="H82" s="16">
        <v>0.00032127072774834</v>
      </c>
      <c r="I82" s="16">
        <v>0.00028406875082201963</v>
      </c>
      <c r="J82" s="14" t="s">
        <v>24</v>
      </c>
      <c r="L82" s="6"/>
    </row>
    <row r="83" s="7" customFormat="1">
      <c r="B83" s="14">
        <v>74</v>
      </c>
      <c r="C83" s="23" t="s">
        <v>187</v>
      </c>
      <c r="D83" s="24">
        <v>0.1991</v>
      </c>
      <c r="E83" s="15">
        <v>645130956</v>
      </c>
      <c r="F83" s="15">
        <v>645130956</v>
      </c>
      <c r="G83" s="14" t="s">
        <v>24</v>
      </c>
      <c r="H83" s="16">
        <v>0.00012718981168909998</v>
      </c>
      <c r="I83" s="16">
        <v>0.00011246169597429442</v>
      </c>
      <c r="J83" s="14" t="s">
        <v>24</v>
      </c>
      <c r="L83" s="6"/>
    </row>
    <row r="84" s="7" customFormat="1">
      <c r="B84" s="14">
        <v>75</v>
      </c>
      <c r="C84" s="23" t="s">
        <v>188</v>
      </c>
      <c r="D84" s="24">
        <v>0.2415</v>
      </c>
      <c r="E84" s="15">
        <v>213104531</v>
      </c>
      <c r="F84" s="15">
        <v>194647293</v>
      </c>
      <c r="G84" s="14" t="s">
        <v>20</v>
      </c>
      <c r="H84" s="16">
        <v>0.00016254712572980003</v>
      </c>
      <c r="I84" s="16">
        <v>0.00013127658876874415</v>
      </c>
      <c r="J84" s="14" t="s">
        <v>20</v>
      </c>
      <c r="L84" s="6"/>
    </row>
    <row r="85" s="7" customFormat="1">
      <c r="B85" s="14">
        <v>76</v>
      </c>
      <c r="C85" s="23" t="s">
        <v>189</v>
      </c>
      <c r="D85" s="24">
        <v>0.2584</v>
      </c>
      <c r="E85" s="15">
        <v>613299264</v>
      </c>
      <c r="F85" s="15">
        <v>613299264</v>
      </c>
      <c r="G85" s="14" t="s">
        <v>24</v>
      </c>
      <c r="H85" s="16">
        <v>0.00020614860035961</v>
      </c>
      <c r="I85" s="16">
        <v>0.00018227734540529991</v>
      </c>
      <c r="J85" s="14" t="s">
        <v>24</v>
      </c>
      <c r="L85" s="6"/>
    </row>
    <row r="86" s="7" customFormat="1">
      <c r="B86" s="14">
        <v>77</v>
      </c>
      <c r="C86" s="23" t="s">
        <v>190</v>
      </c>
      <c r="D86" s="24">
        <v>0.216</v>
      </c>
      <c r="E86" s="15">
        <v>201600000</v>
      </c>
      <c r="F86" s="15">
        <v>216000000</v>
      </c>
      <c r="G86" s="14" t="s">
        <v>19</v>
      </c>
      <c r="H86" s="16">
        <v>6.906706494679E-05</v>
      </c>
      <c r="I86" s="16">
        <v>6.5431447578336E-05</v>
      </c>
      <c r="J86" s="14" t="s">
        <v>24</v>
      </c>
      <c r="L86" s="6"/>
    </row>
    <row r="87" s="7" customFormat="1">
      <c r="B87" s="14">
        <v>78</v>
      </c>
      <c r="C87" s="23" t="s">
        <v>191</v>
      </c>
      <c r="D87" s="24">
        <v>0.1387</v>
      </c>
      <c r="E87" s="15">
        <v>1040250000</v>
      </c>
      <c r="F87" s="15">
        <v>1040250000</v>
      </c>
      <c r="G87" s="14" t="s">
        <v>24</v>
      </c>
      <c r="H87" s="16">
        <v>0.0016810566016888001</v>
      </c>
      <c r="I87" s="16">
        <v>0.0014863963867785643</v>
      </c>
      <c r="J87" s="14" t="s">
        <v>20</v>
      </c>
      <c r="L87" s="6"/>
    </row>
    <row r="88" s="7" customFormat="1">
      <c r="B88" s="14">
        <v>79</v>
      </c>
      <c r="C88" s="23" t="s">
        <v>192</v>
      </c>
      <c r="D88" s="24">
        <v>0.15</v>
      </c>
      <c r="E88" s="15">
        <v>459201216</v>
      </c>
      <c r="F88" s="15">
        <v>459201216</v>
      </c>
      <c r="G88" s="14" t="s">
        <v>24</v>
      </c>
      <c r="H88" s="16">
        <v>0.00045711803236411</v>
      </c>
      <c r="I88" s="16">
        <v>0.00040418543344159131</v>
      </c>
      <c r="J88" s="14" t="s">
        <v>20</v>
      </c>
      <c r="L88" s="6"/>
    </row>
    <row r="89" s="7" customFormat="1">
      <c r="B89" s="14">
        <v>80</v>
      </c>
      <c r="C89" s="23" t="s">
        <v>193</v>
      </c>
      <c r="D89" s="24">
        <v>0.3049</v>
      </c>
      <c r="E89" s="15">
        <v>179322313</v>
      </c>
      <c r="F89" s="15">
        <v>173297538</v>
      </c>
      <c r="G89" s="14" t="s">
        <v>20</v>
      </c>
      <c r="H89" s="16">
        <v>7.650377595585E-05</v>
      </c>
      <c r="I89" s="16">
        <v>6.53722202013866E-05</v>
      </c>
      <c r="J89" s="14" t="s">
        <v>24</v>
      </c>
      <c r="L89" s="6"/>
    </row>
    <row r="90" s="7" customFormat="1">
      <c r="B90" s="14">
        <v>81</v>
      </c>
      <c r="C90" s="23" t="s">
        <v>194</v>
      </c>
      <c r="D90" s="24">
        <v>0.24</v>
      </c>
      <c r="E90" s="15">
        <v>251556385</v>
      </c>
      <c r="F90" s="15">
        <v>258006549</v>
      </c>
      <c r="G90" s="14" t="s">
        <v>19</v>
      </c>
      <c r="H90" s="16">
        <v>0.00014228135793841</v>
      </c>
      <c r="I90" s="16">
        <v>0.00012903148361644888</v>
      </c>
      <c r="J90" s="14" t="s">
        <v>24</v>
      </c>
      <c r="L90" s="6"/>
    </row>
    <row r="91" s="7" customFormat="1">
      <c r="B91" s="14">
        <v>82</v>
      </c>
      <c r="C91" s="23" t="s">
        <v>195</v>
      </c>
      <c r="D91" s="24">
        <v>0.075</v>
      </c>
      <c r="E91" s="15">
        <v>1984500000</v>
      </c>
      <c r="F91" s="15">
        <v>1984500000</v>
      </c>
      <c r="G91" s="14" t="s">
        <v>24</v>
      </c>
      <c r="H91" s="16">
        <v>0.00355974340487103</v>
      </c>
      <c r="I91" s="16">
        <v>0.0031475381195038565</v>
      </c>
      <c r="J91" s="14" t="s">
        <v>20</v>
      </c>
      <c r="L91" s="6"/>
    </row>
    <row r="92" s="7" customFormat="1">
      <c r="B92" s="14">
        <v>83</v>
      </c>
      <c r="C92" s="23" t="s">
        <v>196</v>
      </c>
      <c r="D92" s="24">
        <v>0.2281</v>
      </c>
      <c r="E92" s="15">
        <v>434986700</v>
      </c>
      <c r="F92" s="15">
        <v>434986700</v>
      </c>
      <c r="G92" s="14" t="s">
        <v>24</v>
      </c>
      <c r="H92" s="16">
        <v>0.00052580194494978</v>
      </c>
      <c r="I92" s="16">
        <v>0.00046491600006171117</v>
      </c>
      <c r="J92" s="14" t="s">
        <v>24</v>
      </c>
      <c r="L92" s="6"/>
    </row>
    <row r="93" s="7" customFormat="1">
      <c r="B93" s="14">
        <v>84</v>
      </c>
      <c r="C93" s="23" t="s">
        <v>197</v>
      </c>
      <c r="D93" s="24">
        <v>0.6269</v>
      </c>
      <c r="E93" s="15">
        <v>862101285</v>
      </c>
      <c r="F93" s="15">
        <v>862101285</v>
      </c>
      <c r="G93" s="14" t="s">
        <v>24</v>
      </c>
      <c r="H93" s="16">
        <v>0.00014210294425409</v>
      </c>
      <c r="I93" s="16">
        <v>0.00012564794236932878</v>
      </c>
      <c r="J93" s="14" t="s">
        <v>24</v>
      </c>
      <c r="L93" s="6"/>
    </row>
    <row r="94" s="7" customFormat="1">
      <c r="B94" s="14">
        <v>85</v>
      </c>
      <c r="C94" s="23" t="s">
        <v>198</v>
      </c>
      <c r="D94" s="24">
        <v>0.1511</v>
      </c>
      <c r="E94" s="15">
        <v>1536475000</v>
      </c>
      <c r="F94" s="15">
        <v>1548775000</v>
      </c>
      <c r="G94" s="14" t="s">
        <v>19</v>
      </c>
      <c r="H94" s="16">
        <v>0.00178773279336454</v>
      </c>
      <c r="I94" s="16">
        <v>0.0015933740601122221</v>
      </c>
      <c r="J94" s="14" t="s">
        <v>20</v>
      </c>
      <c r="L94" s="6"/>
    </row>
    <row r="95" s="7" customFormat="1">
      <c r="B95" s="14">
        <v>86</v>
      </c>
      <c r="C95" s="23" t="s">
        <v>199</v>
      </c>
      <c r="D95" s="24">
        <v>0.2702</v>
      </c>
      <c r="E95" s="15">
        <v>251266081</v>
      </c>
      <c r="F95" s="15">
        <v>251266081</v>
      </c>
      <c r="G95" s="14" t="s">
        <v>24</v>
      </c>
      <c r="H95" s="16">
        <v>9.501547319726E-05</v>
      </c>
      <c r="I95" s="16">
        <v>8.4013028549658755E-05</v>
      </c>
      <c r="J95" s="14" t="s">
        <v>24</v>
      </c>
      <c r="L95" s="6"/>
    </row>
    <row r="96" s="7" customFormat="1">
      <c r="B96" s="14">
        <v>87</v>
      </c>
      <c r="C96" s="23" t="s">
        <v>200</v>
      </c>
      <c r="D96" s="24">
        <v>0.9417</v>
      </c>
      <c r="E96" s="15">
        <v>416786882</v>
      </c>
      <c r="F96" s="15">
        <v>416786882</v>
      </c>
      <c r="G96" s="14" t="s">
        <v>24</v>
      </c>
      <c r="H96" s="16">
        <v>6.735326503085E-05</v>
      </c>
      <c r="I96" s="16">
        <v>5.9554002859800429E-05</v>
      </c>
      <c r="J96" s="14" t="s">
        <v>24</v>
      </c>
      <c r="L96" s="6"/>
    </row>
    <row r="97" s="7" customFormat="1">
      <c r="B97" s="14">
        <v>88</v>
      </c>
      <c r="C97" s="23" t="s">
        <v>201</v>
      </c>
      <c r="D97" s="24">
        <v>0.166</v>
      </c>
      <c r="E97" s="15">
        <v>1648800700</v>
      </c>
      <c r="F97" s="15">
        <v>1648800700</v>
      </c>
      <c r="G97" s="14" t="s">
        <v>24</v>
      </c>
      <c r="H97" s="16">
        <v>0.00114039825531032</v>
      </c>
      <c r="I97" s="16">
        <v>0.0010083443021779632</v>
      </c>
      <c r="J97" s="14" t="s">
        <v>20</v>
      </c>
      <c r="L97" s="6"/>
    </row>
    <row r="98" s="7" customFormat="1">
      <c r="B98" s="14">
        <v>89</v>
      </c>
      <c r="C98" s="23" t="s">
        <v>202</v>
      </c>
      <c r="D98" s="24">
        <v>0.011</v>
      </c>
      <c r="E98" s="15">
        <v>99213202</v>
      </c>
      <c r="F98" s="15">
        <v>99213202</v>
      </c>
      <c r="G98" s="14" t="s">
        <v>24</v>
      </c>
      <c r="H98" s="16">
        <v>0.00024851109128096</v>
      </c>
      <c r="I98" s="16">
        <v>0.00021973441386658181</v>
      </c>
      <c r="J98" s="14" t="s">
        <v>24</v>
      </c>
      <c r="L98" s="6"/>
    </row>
    <row r="99" s="7" customFormat="1">
      <c r="B99" s="14">
        <v>90</v>
      </c>
      <c r="C99" s="23" t="s">
        <v>203</v>
      </c>
      <c r="D99" s="24">
        <v>0.2</v>
      </c>
      <c r="E99" s="15">
        <v>1750000000</v>
      </c>
      <c r="F99" s="15">
        <v>1750000000</v>
      </c>
      <c r="G99" s="14" t="s">
        <v>24</v>
      </c>
      <c r="H99" s="16">
        <v>0.00046379547674567</v>
      </c>
      <c r="I99" s="16">
        <v>0.00041008965441523471</v>
      </c>
      <c r="J99" s="14" t="s">
        <v>20</v>
      </c>
      <c r="L99" s="6"/>
    </row>
    <row r="100" s="7" customFormat="1">
      <c r="B100" s="14">
        <v>91</v>
      </c>
      <c r="C100" s="23" t="s">
        <v>204</v>
      </c>
      <c r="D100" s="24">
        <v>0.4853</v>
      </c>
      <c r="E100" s="15">
        <v>3276522405</v>
      </c>
      <c r="F100" s="15">
        <v>3276522405</v>
      </c>
      <c r="G100" s="14" t="s">
        <v>24</v>
      </c>
      <c r="H100" s="16">
        <v>0.0257332135071394</v>
      </c>
      <c r="I100" s="16">
        <v>0.022753401367345476</v>
      </c>
      <c r="J100" s="14" t="s">
        <v>20</v>
      </c>
      <c r="L100" s="6"/>
    </row>
    <row r="101" s="7" customFormat="1">
      <c r="B101" s="14">
        <v>92</v>
      </c>
      <c r="C101" s="23" t="s">
        <v>205</v>
      </c>
      <c r="D101" s="24">
        <v>0.1188</v>
      </c>
      <c r="E101" s="15">
        <v>406068532</v>
      </c>
      <c r="F101" s="15">
        <v>406068532</v>
      </c>
      <c r="G101" s="14" t="s">
        <v>24</v>
      </c>
      <c r="H101" s="16">
        <v>0.00021786227339929998</v>
      </c>
      <c r="I101" s="16">
        <v>0.00019263461803202515</v>
      </c>
      <c r="J101" s="14" t="s">
        <v>24</v>
      </c>
      <c r="L101" s="6"/>
    </row>
    <row r="102" s="7" customFormat="1">
      <c r="B102" s="14">
        <v>93</v>
      </c>
      <c r="C102" s="23" t="s">
        <v>206</v>
      </c>
      <c r="D102" s="24">
        <v>0.2686</v>
      </c>
      <c r="E102" s="15">
        <v>590652428</v>
      </c>
      <c r="F102" s="15">
        <v>625341909</v>
      </c>
      <c r="G102" s="14" t="s">
        <v>19</v>
      </c>
      <c r="H102" s="16">
        <v>0.00019471830168917</v>
      </c>
      <c r="I102" s="16">
        <v>0.00018228234994546169</v>
      </c>
      <c r="J102" s="14" t="s">
        <v>24</v>
      </c>
      <c r="L102" s="6"/>
    </row>
    <row r="103" s="7" customFormat="1">
      <c r="B103" s="14">
        <v>94</v>
      </c>
      <c r="C103" s="23" t="s">
        <v>207</v>
      </c>
      <c r="D103" s="24">
        <v>0.178</v>
      </c>
      <c r="E103" s="15">
        <v>622084300</v>
      </c>
      <c r="F103" s="15">
        <v>585152750</v>
      </c>
      <c r="G103" s="14" t="s">
        <v>20</v>
      </c>
      <c r="H103" s="16">
        <v>0.00024127098354941</v>
      </c>
      <c r="I103" s="16">
        <v>0.00020066767026700284</v>
      </c>
      <c r="J103" s="14" t="s">
        <v>24</v>
      </c>
      <c r="L103" s="6"/>
    </row>
    <row r="104" s="7" customFormat="1">
      <c r="B104" s="14">
        <v>95</v>
      </c>
      <c r="C104" s="23" t="s">
        <v>208</v>
      </c>
      <c r="D104" s="24">
        <v>0.0751</v>
      </c>
      <c r="E104" s="15">
        <v>307933840</v>
      </c>
      <c r="F104" s="15">
        <v>307933840</v>
      </c>
      <c r="G104" s="14" t="s">
        <v>24</v>
      </c>
      <c r="H104" s="16">
        <v>0.00020502142410144998</v>
      </c>
      <c r="I104" s="16">
        <v>0.00018128069173189003</v>
      </c>
      <c r="J104" s="14" t="s">
        <v>24</v>
      </c>
      <c r="L104" s="6"/>
    </row>
    <row r="105" s="7" customFormat="1">
      <c r="B105" s="14">
        <v>96</v>
      </c>
      <c r="C105" s="23" t="s">
        <v>209</v>
      </c>
      <c r="D105" s="24">
        <v>0.2498</v>
      </c>
      <c r="E105" s="15">
        <v>3682409169</v>
      </c>
      <c r="F105" s="15">
        <v>3881290339</v>
      </c>
      <c r="G105" s="14" t="s">
        <v>19</v>
      </c>
      <c r="H105" s="16">
        <v>0.00069029486783499</v>
      </c>
      <c r="I105" s="16">
        <v>0.00064332590104445328</v>
      </c>
      <c r="J105" s="14" t="s">
        <v>20</v>
      </c>
      <c r="L105" s="6"/>
    </row>
    <row r="106">
      <c r="B106" s="14">
        <v>97</v>
      </c>
      <c r="C106" s="23" t="s">
        <v>210</v>
      </c>
      <c r="D106" s="24">
        <v>0.2159</v>
      </c>
      <c r="E106" s="15">
        <v>1231090000</v>
      </c>
      <c r="F106" s="15">
        <v>1299718000</v>
      </c>
      <c r="G106" s="14" t="s">
        <v>19</v>
      </c>
      <c r="H106" s="16">
        <v>0.00021088237347555</v>
      </c>
      <c r="I106" s="16">
        <v>0.00019685747727689744</v>
      </c>
      <c r="J106" s="14" t="s">
        <v>24</v>
      </c>
    </row>
    <row r="107">
      <c r="B107" s="14">
        <v>98</v>
      </c>
      <c r="C107" s="23" t="s">
        <v>211</v>
      </c>
      <c r="D107" s="24">
        <v>0.2946</v>
      </c>
      <c r="E107" s="15">
        <v>1865893322</v>
      </c>
      <c r="F107" s="15">
        <v>1862100856</v>
      </c>
      <c r="G107" s="14" t="s">
        <v>20</v>
      </c>
      <c r="H107" s="16">
        <v>0.00057893879269701</v>
      </c>
      <c r="I107" s="16">
        <v>0.00051085934816542228</v>
      </c>
      <c r="J107" s="14" t="s">
        <v>20</v>
      </c>
    </row>
    <row r="108">
      <c r="B108" s="14">
        <v>99</v>
      </c>
      <c r="C108" s="23" t="s">
        <v>212</v>
      </c>
      <c r="D108" s="24">
        <v>0.2198</v>
      </c>
      <c r="E108" s="15">
        <v>331810080</v>
      </c>
      <c r="F108" s="15">
        <v>663620160</v>
      </c>
      <c r="G108" s="14" t="s">
        <v>19</v>
      </c>
      <c r="H108" s="16">
        <v>1.71586914835E-05</v>
      </c>
      <c r="I108" s="16">
        <v>3.034355535357578E-05</v>
      </c>
      <c r="J108" s="14" t="s">
        <v>24</v>
      </c>
    </row>
    <row r="109">
      <c r="B109" s="14">
        <v>100</v>
      </c>
      <c r="C109" s="23" t="s">
        <v>213</v>
      </c>
      <c r="D109" s="24">
        <v>0.0932</v>
      </c>
      <c r="E109" s="15">
        <v>110034266</v>
      </c>
      <c r="F109" s="15">
        <v>126140142</v>
      </c>
      <c r="G109" s="14" t="s">
        <v>19</v>
      </c>
      <c r="H109" s="16">
        <v>0.00018670754216279</v>
      </c>
      <c r="I109" s="16">
        <v>0.00018925158746586085</v>
      </c>
      <c r="J109" s="14" t="s">
        <v>24</v>
      </c>
    </row>
    <row r="110">
      <c r="B110" s="14">
        <v>101</v>
      </c>
      <c r="C110" s="23" t="s">
        <v>214</v>
      </c>
      <c r="D110" s="24">
        <v>0.0991</v>
      </c>
      <c r="E110" s="15">
        <v>72659852</v>
      </c>
      <c r="F110" s="15">
        <v>72806788</v>
      </c>
      <c r="G110" s="14" t="s">
        <v>19</v>
      </c>
      <c r="H110" s="16">
        <v>0.00029941896265316</v>
      </c>
      <c r="I110" s="16">
        <v>0.0002652827242212833</v>
      </c>
      <c r="J110" s="14" t="s">
        <v>24</v>
      </c>
    </row>
    <row r="111">
      <c r="B111" s="14">
        <v>102</v>
      </c>
      <c r="C111" s="23" t="s">
        <v>215</v>
      </c>
      <c r="D111" s="24">
        <v>0.2749</v>
      </c>
      <c r="E111" s="15">
        <v>2882340382</v>
      </c>
      <c r="F111" s="15">
        <v>2882340382</v>
      </c>
      <c r="G111" s="14" t="s">
        <v>24</v>
      </c>
      <c r="H111" s="16">
        <v>0.00110857947987419</v>
      </c>
      <c r="I111" s="16">
        <v>0.00098021002501863085</v>
      </c>
      <c r="J111" s="14" t="s">
        <v>20</v>
      </c>
    </row>
    <row r="112">
      <c r="B112" s="14">
        <v>103</v>
      </c>
      <c r="C112" s="23" t="s">
        <v>216</v>
      </c>
      <c r="D112" s="24">
        <v>0.3496</v>
      </c>
      <c r="E112" s="15">
        <v>2603734608</v>
      </c>
      <c r="F112" s="15">
        <v>2603734608</v>
      </c>
      <c r="G112" s="14" t="s">
        <v>24</v>
      </c>
      <c r="H112" s="16">
        <v>0.0271815266779938</v>
      </c>
      <c r="I112" s="16">
        <v>0.024034005156776655</v>
      </c>
      <c r="J112" s="14" t="s">
        <v>20</v>
      </c>
    </row>
    <row r="113">
      <c r="B113" s="14">
        <v>104</v>
      </c>
      <c r="C113" s="23" t="s">
        <v>217</v>
      </c>
      <c r="D113" s="24">
        <v>0.1863</v>
      </c>
      <c r="E113" s="15">
        <v>229470513</v>
      </c>
      <c r="F113" s="15">
        <v>188493636</v>
      </c>
      <c r="G113" s="14" t="s">
        <v>20</v>
      </c>
      <c r="H113" s="16">
        <v>0.00060073994871419</v>
      </c>
      <c r="I113" s="16">
        <v>0.00043632351855695466</v>
      </c>
      <c r="J113" s="14" t="s">
        <v>20</v>
      </c>
    </row>
    <row r="114">
      <c r="B114" s="14">
        <v>105</v>
      </c>
      <c r="C114" s="23" t="s">
        <v>218</v>
      </c>
      <c r="D114" s="24">
        <v>0.2921</v>
      </c>
      <c r="E114" s="15">
        <v>895985743</v>
      </c>
      <c r="F114" s="15">
        <v>909372605</v>
      </c>
      <c r="G114" s="14" t="s">
        <v>19</v>
      </c>
      <c r="H114" s="16">
        <v>0.0246147048506766</v>
      </c>
      <c r="I114" s="16">
        <v>0.022089592519198679</v>
      </c>
      <c r="J114" s="14" t="s">
        <v>20</v>
      </c>
    </row>
    <row r="115">
      <c r="B115" s="14">
        <v>106</v>
      </c>
      <c r="C115" s="23" t="s">
        <v>219</v>
      </c>
      <c r="D115" s="24">
        <v>0.1066</v>
      </c>
      <c r="E115" s="15">
        <v>4047481261</v>
      </c>
      <c r="F115" s="15">
        <v>6115167655</v>
      </c>
      <c r="G115" s="14" t="s">
        <v>19</v>
      </c>
      <c r="H115" s="16">
        <v>0.0673700211183489</v>
      </c>
      <c r="I115" s="16">
        <v>0.09</v>
      </c>
      <c r="J115" s="14" t="s">
        <v>19</v>
      </c>
    </row>
    <row r="116">
      <c r="B116" s="14">
        <v>107</v>
      </c>
      <c r="C116" s="23" t="s">
        <v>220</v>
      </c>
      <c r="D116" s="24">
        <v>0.2484</v>
      </c>
      <c r="E116" s="15">
        <v>702280800</v>
      </c>
      <c r="F116" s="15">
        <v>697507200</v>
      </c>
      <c r="G116" s="14" t="s">
        <v>20</v>
      </c>
      <c r="H116" s="16">
        <v>0.00102594442938878</v>
      </c>
      <c r="I116" s="16">
        <v>0.000900977699953048</v>
      </c>
      <c r="J116" s="14" t="s">
        <v>20</v>
      </c>
    </row>
    <row r="117">
      <c r="B117" s="14">
        <v>108</v>
      </c>
      <c r="C117" s="23" t="s">
        <v>221</v>
      </c>
      <c r="D117" s="24">
        <v>0.2521</v>
      </c>
      <c r="E117" s="15">
        <v>133092649</v>
      </c>
      <c r="F117" s="15">
        <v>96637837</v>
      </c>
      <c r="G117" s="14" t="s">
        <v>20</v>
      </c>
      <c r="H117" s="16">
        <v>0.00423706286169931</v>
      </c>
      <c r="I117" s="16">
        <v>0.0027202595375942448</v>
      </c>
      <c r="J117" s="14" t="s">
        <v>20</v>
      </c>
    </row>
    <row r="118">
      <c r="B118" s="14">
        <v>109</v>
      </c>
      <c r="C118" s="23" t="s">
        <v>222</v>
      </c>
      <c r="D118" s="24">
        <v>0.579</v>
      </c>
      <c r="E118" s="15">
        <v>32643097082</v>
      </c>
      <c r="F118" s="15">
        <v>32875897043</v>
      </c>
      <c r="G118" s="14" t="s">
        <v>19</v>
      </c>
      <c r="H118" s="16">
        <v>0.00189905905174095</v>
      </c>
      <c r="I118" s="16">
        <v>0.0016911301367811364</v>
      </c>
      <c r="J118" s="14" t="s">
        <v>20</v>
      </c>
    </row>
    <row r="119">
      <c r="B119" s="14">
        <v>110</v>
      </c>
      <c r="C119" s="23" t="s">
        <v>223</v>
      </c>
      <c r="D119" s="24">
        <v>0.3879</v>
      </c>
      <c r="E119" s="15">
        <v>3380729494</v>
      </c>
      <c r="F119" s="15">
        <v>3380729494</v>
      </c>
      <c r="G119" s="14" t="s">
        <v>24</v>
      </c>
      <c r="H119" s="16">
        <v>0.00095061416812095</v>
      </c>
      <c r="I119" s="16">
        <v>0.00084053651932629932</v>
      </c>
      <c r="J119" s="14" t="s">
        <v>20</v>
      </c>
    </row>
    <row r="120">
      <c r="B120" s="14">
        <v>111</v>
      </c>
      <c r="C120" s="23" t="s">
        <v>224</v>
      </c>
      <c r="D120" s="24">
        <v>0.09</v>
      </c>
      <c r="E120" s="15">
        <v>59518808</v>
      </c>
      <c r="F120" s="15">
        <v>60120008</v>
      </c>
      <c r="G120" s="14" t="s">
        <v>19</v>
      </c>
      <c r="H120" s="16">
        <v>0.00012407621802051</v>
      </c>
      <c r="I120" s="16">
        <v>0.00011081681312772835</v>
      </c>
      <c r="J120" s="14" t="s">
        <v>24</v>
      </c>
    </row>
    <row r="121">
      <c r="B121" s="14">
        <v>112</v>
      </c>
      <c r="C121" s="23" t="s">
        <v>225</v>
      </c>
      <c r="D121" s="24">
        <v>0.3459</v>
      </c>
      <c r="E121" s="15">
        <v>8733975000</v>
      </c>
      <c r="F121" s="15">
        <v>8733975000</v>
      </c>
      <c r="G121" s="14" t="s">
        <v>24</v>
      </c>
      <c r="H121" s="16">
        <v>0.00084685256425291993</v>
      </c>
      <c r="I121" s="16">
        <v>0.00074879013019260609</v>
      </c>
      <c r="J121" s="14" t="s">
        <v>20</v>
      </c>
    </row>
    <row r="122" ht="14.5" customHeight="1">
      <c r="B122" s="30" t="s">
        <v>112</v>
      </c>
      <c r="C122" s="30"/>
      <c r="D122" s="30"/>
      <c r="E122" s="30"/>
      <c r="F122" s="30"/>
      <c r="G122" s="30"/>
      <c r="H122" s="30"/>
      <c r="I122" s="30"/>
      <c r="J122" s="30"/>
    </row>
    <row r="123">
      <c r="B123" s="31"/>
      <c r="C123" s="31"/>
      <c r="D123" s="31"/>
      <c r="E123" s="31"/>
      <c r="F123" s="31"/>
      <c r="G123" s="31"/>
      <c r="H123" s="31"/>
      <c r="I123" s="31"/>
      <c r="J123" s="31"/>
    </row>
    <row r="125">
      <c r="D125" s="26"/>
      <c r="E125" s="26"/>
    </row>
  </sheetData>
  <sortState xmlns:xlrd2="http://schemas.microsoft.com/office/spreadsheetml/2017/richdata2" ref="F6:F78">
    <sortCondition ref="F6:F78"/>
  </sortState>
  <mergeCells>
    <mergeCell ref="B122:J123"/>
    <mergeCell ref="B2:H2"/>
    <mergeCell ref="B8:B9"/>
    <mergeCell ref="C8:C9"/>
    <mergeCell ref="D8:D9"/>
    <mergeCell ref="E8:G8"/>
    <mergeCell ref="H8:J8"/>
  </mergeCells>
  <conditionalFormatting sqref="B122">
    <cfRule type="expression" dxfId="0" priority="1">
      <formula>$H122="Baru"</formula>
    </cfRule>
  </conditionalFormatting>
  <conditionalFormatting sqref="B10:J121">
    <cfRule type="expression" dxfId="0" priority="2">
      <formula>$J10="Baru"</formula>
    </cfRule>
  </conditionalFormatting>
  <pageMargins left="0.7" right="0.7" top="0.75" bottom="0.75" header="0.3" footer="0.3"/>
  <pageSetup orientation="portrait" horizontalDpi="4294967295" verticalDpi="4294967295"/>
  <headerFooter>
    <oddFooter>&amp;L_x000D_&amp;1#&amp;"Calibri"&amp;10&amp;K000000 Kode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0734-1C78-44CB-81DC-732DB0C579A5}">
  <dimension ref="A2:L76"/>
  <sheetViews>
    <sheetView workbookViewId="0">
      <selection activeCell="B10" sqref="B10:J72"/>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6384" width="8.81640625" customWidth="1" style="6"/>
  </cols>
  <sheetData>
    <row r="2">
      <c r="B2" s="32" t="str">
        <f>LEFT('A ENERGY'!B2,9) &amp; (VALUE(MID('A ENERGY'!B2,10,1))+2) &amp; _xlfn.TEXTAFTER('A ENERGY'!B2,"Lampiran 5")</f>
        <v>Lampiran 7 Pengumuman BEI No. Peng-00044/BEI.POP/03-2026 tanggal 25 Maret 2026</v>
      </c>
      <c r="C2" s="32"/>
      <c r="D2" s="32"/>
      <c r="E2" s="32"/>
      <c r="F2" s="32"/>
      <c r="G2" s="32"/>
      <c r="H2" s="32"/>
    </row>
    <row r="3">
      <c r="B3" s="5" t="s">
        <v>1</v>
      </c>
      <c r="F3" s="22"/>
      <c r="G3" s="22" t="s">
        <v>226</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227</v>
      </c>
      <c r="G9" s="25" t="s">
        <v>15</v>
      </c>
      <c r="H9" s="13" t="s">
        <v>16</v>
      </c>
      <c r="I9" s="13" t="s">
        <v>17</v>
      </c>
      <c r="J9" s="25" t="s">
        <v>15</v>
      </c>
    </row>
    <row r="10">
      <c r="B10" s="14">
        <v>1</v>
      </c>
      <c r="C10" s="23" t="s">
        <v>228</v>
      </c>
      <c r="D10" s="24">
        <v>0.1307</v>
      </c>
      <c r="E10" s="15">
        <v>56723800</v>
      </c>
      <c r="F10" s="15">
        <v>56723800</v>
      </c>
      <c r="G10" s="14" t="s">
        <v>24</v>
      </c>
      <c r="H10" s="16">
        <v>0.0041940556775065</v>
      </c>
      <c r="I10" s="16">
        <v>0.0039793228523586736</v>
      </c>
      <c r="J10" s="14" t="s">
        <v>20</v>
      </c>
    </row>
    <row r="11">
      <c r="B11" s="14">
        <v>2</v>
      </c>
      <c r="C11" s="23" t="s">
        <v>229</v>
      </c>
      <c r="D11" s="24">
        <v>0.1829</v>
      </c>
      <c r="E11" s="15">
        <v>197532000</v>
      </c>
      <c r="F11" s="15">
        <v>197532000</v>
      </c>
      <c r="G11" s="14" t="s">
        <v>24</v>
      </c>
      <c r="H11" s="16">
        <v>0.00102323579911464</v>
      </c>
      <c r="I11" s="16">
        <v>0.00097084681555519871</v>
      </c>
      <c r="J11" s="14" t="s">
        <v>24</v>
      </c>
    </row>
    <row r="12">
      <c r="B12" s="14">
        <v>3</v>
      </c>
      <c r="C12" s="23" t="s">
        <v>230</v>
      </c>
      <c r="D12" s="24">
        <v>0.2234</v>
      </c>
      <c r="E12" s="15">
        <v>240324784</v>
      </c>
      <c r="F12" s="15">
        <v>240324784</v>
      </c>
      <c r="G12" s="14" t="s">
        <v>24</v>
      </c>
      <c r="H12" s="16">
        <v>0.00095230047136774</v>
      </c>
      <c r="I12" s="16">
        <v>0.00090354332879971709</v>
      </c>
      <c r="J12" s="14" t="s">
        <v>20</v>
      </c>
    </row>
    <row r="13">
      <c r="B13" s="14">
        <v>4</v>
      </c>
      <c r="C13" s="23" t="s">
        <v>231</v>
      </c>
      <c r="D13" s="24">
        <v>0.4538</v>
      </c>
      <c r="E13" s="15">
        <v>907600000</v>
      </c>
      <c r="F13" s="15">
        <v>907600000</v>
      </c>
      <c r="G13" s="14" t="s">
        <v>24</v>
      </c>
      <c r="H13" s="16">
        <v>0.00062284300121555</v>
      </c>
      <c r="I13" s="16">
        <v>0.00059095385916341941</v>
      </c>
      <c r="J13" s="14" t="s">
        <v>24</v>
      </c>
    </row>
    <row r="14">
      <c r="B14" s="14">
        <v>5</v>
      </c>
      <c r="C14" s="23" t="s">
        <v>232</v>
      </c>
      <c r="D14" s="24">
        <v>0.3309</v>
      </c>
      <c r="E14" s="15">
        <v>2446164801</v>
      </c>
      <c r="F14" s="15">
        <v>2429279510</v>
      </c>
      <c r="G14" s="14" t="s">
        <v>20</v>
      </c>
      <c r="H14" s="16">
        <v>0.027617114236859003</v>
      </c>
      <c r="I14" s="16">
        <v>0.026022262603684794</v>
      </c>
      <c r="J14" s="14" t="s">
        <v>20</v>
      </c>
    </row>
    <row r="15">
      <c r="B15" s="14">
        <v>6</v>
      </c>
      <c r="C15" s="23" t="s">
        <v>233</v>
      </c>
      <c r="D15" s="24">
        <v>0.2206</v>
      </c>
      <c r="E15" s="15">
        <v>297540978</v>
      </c>
      <c r="F15" s="15">
        <v>297540978</v>
      </c>
      <c r="G15" s="14" t="s">
        <v>24</v>
      </c>
      <c r="H15" s="16">
        <v>0.00951781021973868</v>
      </c>
      <c r="I15" s="16">
        <v>0.0090305047577537347</v>
      </c>
      <c r="J15" s="14" t="s">
        <v>20</v>
      </c>
    </row>
    <row r="16">
      <c r="B16" s="14">
        <v>7</v>
      </c>
      <c r="C16" s="23" t="s">
        <v>234</v>
      </c>
      <c r="D16" s="24">
        <v>0.4396</v>
      </c>
      <c r="E16" s="15">
        <v>1623767380</v>
      </c>
      <c r="F16" s="15">
        <v>1627708898</v>
      </c>
      <c r="G16" s="14" t="s">
        <v>19</v>
      </c>
      <c r="H16" s="16">
        <v>0.21028199388587498</v>
      </c>
      <c r="I16" s="16">
        <v>0.2</v>
      </c>
      <c r="J16" s="14" t="s">
        <v>20</v>
      </c>
    </row>
    <row r="17">
      <c r="B17" s="14">
        <v>8</v>
      </c>
      <c r="C17" s="23" t="s">
        <v>235</v>
      </c>
      <c r="D17" s="24">
        <v>0.7222</v>
      </c>
      <c r="E17" s="15">
        <v>55462320181</v>
      </c>
      <c r="F17" s="15">
        <v>62158422772</v>
      </c>
      <c r="G17" s="14" t="s">
        <v>19</v>
      </c>
      <c r="H17" s="16">
        <v>0.0392889497501096</v>
      </c>
      <c r="I17" s="16">
        <v>0.041777972182524284</v>
      </c>
      <c r="J17" s="14" t="s">
        <v>19</v>
      </c>
    </row>
    <row r="18" s="7" customFormat="1">
      <c r="B18" s="14">
        <v>9</v>
      </c>
      <c r="C18" s="23" t="s">
        <v>236</v>
      </c>
      <c r="D18" s="24">
        <v>0.0666</v>
      </c>
      <c r="E18" s="15">
        <v>151763585</v>
      </c>
      <c r="F18" s="15">
        <v>151536053</v>
      </c>
      <c r="G18" s="14" t="s">
        <v>20</v>
      </c>
      <c r="H18" s="16">
        <v>0.00041995233243929004</v>
      </c>
      <c r="I18" s="16">
        <v>0.00039785367700692989</v>
      </c>
      <c r="J18" s="14" t="s">
        <v>24</v>
      </c>
      <c r="L18" s="6"/>
    </row>
    <row r="19" s="7" customFormat="1">
      <c r="B19" s="14">
        <v>10</v>
      </c>
      <c r="C19" s="23" t="s">
        <v>237</v>
      </c>
      <c r="D19" s="24">
        <v>0.1198</v>
      </c>
      <c r="E19" s="15">
        <v>50076400</v>
      </c>
      <c r="F19" s="15">
        <v>50076400</v>
      </c>
      <c r="G19" s="14" t="s">
        <v>24</v>
      </c>
      <c r="H19" s="16">
        <v>0.00346976326727708</v>
      </c>
      <c r="I19" s="16">
        <v>0.0032921137255763023</v>
      </c>
      <c r="J19" s="14" t="s">
        <v>20</v>
      </c>
      <c r="L19" s="6"/>
    </row>
    <row r="20">
      <c r="B20" s="14">
        <v>11</v>
      </c>
      <c r="C20" s="23" t="s">
        <v>238</v>
      </c>
      <c r="D20" s="24">
        <v>0.2896</v>
      </c>
      <c r="E20" s="15">
        <v>47256086859</v>
      </c>
      <c r="F20" s="15">
        <v>50221514695</v>
      </c>
      <c r="G20" s="14" t="s">
        <v>19</v>
      </c>
      <c r="H20" s="16">
        <v>0.124487895507134</v>
      </c>
      <c r="I20" s="16">
        <v>0.12552613602323726</v>
      </c>
      <c r="J20" s="14" t="s">
        <v>19</v>
      </c>
    </row>
    <row r="21">
      <c r="B21" s="14">
        <v>12</v>
      </c>
      <c r="C21" s="23" t="s">
        <v>239</v>
      </c>
      <c r="D21" s="24">
        <v>0.1136</v>
      </c>
      <c r="E21" s="15">
        <v>136694905</v>
      </c>
      <c r="F21" s="15">
        <v>136694905</v>
      </c>
      <c r="G21" s="14" t="s">
        <v>24</v>
      </c>
      <c r="H21" s="16">
        <v>0.00046903627633911006</v>
      </c>
      <c r="I21" s="16">
        <v>0.00044502193458498794</v>
      </c>
      <c r="J21" s="14" t="s">
        <v>20</v>
      </c>
    </row>
    <row r="22">
      <c r="B22" s="14">
        <v>13</v>
      </c>
      <c r="C22" s="23" t="s">
        <v>240</v>
      </c>
      <c r="D22" s="24">
        <v>0.0913</v>
      </c>
      <c r="E22" s="15">
        <v>122933333</v>
      </c>
      <c r="F22" s="15">
        <v>121733333</v>
      </c>
      <c r="G22" s="14" t="s">
        <v>20</v>
      </c>
      <c r="H22" s="16">
        <v>0.0005987075639593</v>
      </c>
      <c r="I22" s="16">
        <v>0.0005625091435469238</v>
      </c>
      <c r="J22" s="14" t="s">
        <v>24</v>
      </c>
    </row>
    <row r="23">
      <c r="B23" s="14">
        <v>14</v>
      </c>
      <c r="C23" s="23" t="s">
        <v>241</v>
      </c>
      <c r="D23" s="24">
        <v>0.2048</v>
      </c>
      <c r="E23" s="15">
        <v>592281600</v>
      </c>
      <c r="F23" s="15">
        <v>592281600</v>
      </c>
      <c r="G23" s="14" t="s">
        <v>24</v>
      </c>
      <c r="H23" s="16">
        <v>0.0012849218794785799</v>
      </c>
      <c r="I23" s="16">
        <v>0.0012191347449027386</v>
      </c>
      <c r="J23" s="14" t="s">
        <v>20</v>
      </c>
    </row>
    <row r="24">
      <c r="B24" s="14">
        <v>15</v>
      </c>
      <c r="C24" s="23" t="s">
        <v>242</v>
      </c>
      <c r="D24" s="24">
        <v>0.4353</v>
      </c>
      <c r="E24" s="15">
        <v>535784574</v>
      </c>
      <c r="F24" s="15">
        <v>535784574</v>
      </c>
      <c r="G24" s="14" t="s">
        <v>24</v>
      </c>
      <c r="H24" s="16">
        <v>0.00085397490685862</v>
      </c>
      <c r="I24" s="16">
        <v>0.0008102519670743568</v>
      </c>
      <c r="J24" s="14" t="s">
        <v>20</v>
      </c>
    </row>
    <row r="25">
      <c r="B25" s="14">
        <v>16</v>
      </c>
      <c r="C25" s="23" t="s">
        <v>243</v>
      </c>
      <c r="D25" s="24">
        <v>0.2171</v>
      </c>
      <c r="E25" s="15">
        <v>1149427391</v>
      </c>
      <c r="F25" s="15">
        <v>927660545</v>
      </c>
      <c r="G25" s="14" t="s">
        <v>20</v>
      </c>
      <c r="H25" s="16">
        <v>0.0020864971809012</v>
      </c>
      <c r="I25" s="16">
        <v>0.0015977187435712733</v>
      </c>
      <c r="J25" s="14" t="s">
        <v>20</v>
      </c>
    </row>
    <row r="26">
      <c r="B26" s="14">
        <v>17</v>
      </c>
      <c r="C26" s="23" t="s">
        <v>244</v>
      </c>
      <c r="D26" s="24">
        <v>0.2979</v>
      </c>
      <c r="E26" s="15">
        <v>1077447806</v>
      </c>
      <c r="F26" s="15">
        <v>1218815412</v>
      </c>
      <c r="G26" s="14" t="s">
        <v>19</v>
      </c>
      <c r="H26" s="16">
        <v>0.00834808174695951</v>
      </c>
      <c r="I26" s="16">
        <v>0.0089599043574404777</v>
      </c>
      <c r="J26" s="14" t="s">
        <v>19</v>
      </c>
    </row>
    <row r="27">
      <c r="B27" s="14">
        <v>18</v>
      </c>
      <c r="C27" s="23" t="s">
        <v>245</v>
      </c>
      <c r="D27" s="24">
        <v>0.5105</v>
      </c>
      <c r="E27" s="15">
        <v>343705039</v>
      </c>
      <c r="F27" s="15">
        <v>340371333</v>
      </c>
      <c r="G27" s="14" t="s">
        <v>20</v>
      </c>
      <c r="H27" s="16">
        <v>0.0022825986795057</v>
      </c>
      <c r="I27" s="16">
        <v>0.0021447250405156816</v>
      </c>
      <c r="J27" s="14" t="s">
        <v>20</v>
      </c>
    </row>
    <row r="28">
      <c r="B28" s="14">
        <v>19</v>
      </c>
      <c r="C28" s="23" t="s">
        <v>246</v>
      </c>
      <c r="D28" s="24">
        <v>0.2044</v>
      </c>
      <c r="E28" s="15">
        <v>171696000</v>
      </c>
      <c r="F28" s="15">
        <v>171696000</v>
      </c>
      <c r="G28" s="14" t="s">
        <v>24</v>
      </c>
      <c r="H28" s="16">
        <v>0.0164577507814277</v>
      </c>
      <c r="I28" s="16">
        <v>0.015615125029025654</v>
      </c>
      <c r="J28" s="14" t="s">
        <v>20</v>
      </c>
    </row>
    <row r="29">
      <c r="B29" s="14">
        <v>20</v>
      </c>
      <c r="C29" s="23" t="s">
        <v>247</v>
      </c>
      <c r="D29" s="24">
        <v>0.4826</v>
      </c>
      <c r="E29" s="15">
        <v>852783189</v>
      </c>
      <c r="F29" s="15">
        <v>1028111834</v>
      </c>
      <c r="G29" s="14" t="s">
        <v>19</v>
      </c>
      <c r="H29" s="16">
        <v>0.00381340039829369</v>
      </c>
      <c r="I29" s="16">
        <v>0.0043620347353118512</v>
      </c>
      <c r="J29" s="14" t="s">
        <v>19</v>
      </c>
    </row>
    <row r="30">
      <c r="B30" s="14">
        <v>21</v>
      </c>
      <c r="C30" s="23" t="s">
        <v>248</v>
      </c>
      <c r="D30" s="24">
        <v>0.2003</v>
      </c>
      <c r="E30" s="15">
        <v>506767500</v>
      </c>
      <c r="F30" s="15">
        <v>505757500</v>
      </c>
      <c r="G30" s="14" t="s">
        <v>20</v>
      </c>
      <c r="H30" s="16">
        <v>0.0015705768736615</v>
      </c>
      <c r="I30" s="16">
        <v>0.0014871944618070358</v>
      </c>
      <c r="J30" s="14" t="s">
        <v>20</v>
      </c>
    </row>
    <row r="31">
      <c r="B31" s="14">
        <v>22</v>
      </c>
      <c r="C31" s="23" t="s">
        <v>249</v>
      </c>
      <c r="D31" s="24">
        <v>0.1885</v>
      </c>
      <c r="E31" s="15">
        <v>286017148</v>
      </c>
      <c r="F31" s="15">
        <v>286017148</v>
      </c>
      <c r="G31" s="14" t="s">
        <v>24</v>
      </c>
      <c r="H31" s="16">
        <v>0.00052552402100303</v>
      </c>
      <c r="I31" s="16">
        <v>0.0004986175448016654</v>
      </c>
      <c r="J31" s="14" t="s">
        <v>24</v>
      </c>
    </row>
    <row r="32">
      <c r="B32" s="14">
        <v>23</v>
      </c>
      <c r="C32" s="23" t="s">
        <v>250</v>
      </c>
      <c r="D32" s="24">
        <v>0.2828</v>
      </c>
      <c r="E32" s="15">
        <v>308181300</v>
      </c>
      <c r="F32" s="15">
        <v>308181300</v>
      </c>
      <c r="G32" s="14" t="s">
        <v>24</v>
      </c>
      <c r="H32" s="16">
        <v>0.00065493759926246991</v>
      </c>
      <c r="I32" s="16">
        <v>0.00062140523541250059</v>
      </c>
      <c r="J32" s="14" t="s">
        <v>20</v>
      </c>
    </row>
    <row r="33">
      <c r="B33" s="14">
        <v>24</v>
      </c>
      <c r="C33" s="23" t="s">
        <v>251</v>
      </c>
      <c r="D33" s="24">
        <v>0.7864</v>
      </c>
      <c r="E33" s="15">
        <v>10463680638</v>
      </c>
      <c r="F33" s="15">
        <v>10463680638</v>
      </c>
      <c r="G33" s="14" t="s">
        <v>24</v>
      </c>
      <c r="H33" s="16">
        <v>0.00440109238098093</v>
      </c>
      <c r="I33" s="16">
        <v>0.0041757594160708768</v>
      </c>
      <c r="J33" s="14" t="s">
        <v>20</v>
      </c>
    </row>
    <row r="34">
      <c r="B34" s="14">
        <v>25</v>
      </c>
      <c r="C34" s="23" t="s">
        <v>252</v>
      </c>
      <c r="D34" s="24">
        <v>0.0765</v>
      </c>
      <c r="E34" s="15">
        <v>93636000</v>
      </c>
      <c r="F34" s="15">
        <v>93636000</v>
      </c>
      <c r="G34" s="14" t="s">
        <v>24</v>
      </c>
      <c r="H34" s="16">
        <v>0.0010986038843587601</v>
      </c>
      <c r="I34" s="16">
        <v>0.0010423561056103919</v>
      </c>
      <c r="J34" s="14" t="s">
        <v>20</v>
      </c>
    </row>
    <row r="35">
      <c r="B35" s="14">
        <v>26</v>
      </c>
      <c r="C35" s="23" t="s">
        <v>253</v>
      </c>
      <c r="D35" s="24">
        <v>0.246</v>
      </c>
      <c r="E35" s="15">
        <v>2852564316</v>
      </c>
      <c r="F35" s="15">
        <v>5304789444</v>
      </c>
      <c r="G35" s="14" t="s">
        <v>19</v>
      </c>
      <c r="H35" s="16">
        <v>0.113350203902864</v>
      </c>
      <c r="I35" s="16">
        <v>0.2</v>
      </c>
      <c r="J35" s="14" t="s">
        <v>19</v>
      </c>
    </row>
    <row r="36">
      <c r="B36" s="14">
        <v>27</v>
      </c>
      <c r="C36" s="23" t="s">
        <v>254</v>
      </c>
      <c r="D36" s="24">
        <v>0.3703</v>
      </c>
      <c r="E36" s="15">
        <v>155765863</v>
      </c>
      <c r="F36" s="15">
        <v>162159402</v>
      </c>
      <c r="G36" s="14" t="s">
        <v>19</v>
      </c>
      <c r="H36" s="16">
        <v>0.00035171821873288006</v>
      </c>
      <c r="I36" s="16">
        <v>0.00034740790557370282</v>
      </c>
      <c r="J36" s="14" t="s">
        <v>20</v>
      </c>
    </row>
    <row r="37">
      <c r="B37" s="14">
        <v>28</v>
      </c>
      <c r="C37" s="23" t="s">
        <v>255</v>
      </c>
      <c r="D37" s="24">
        <v>0.2835</v>
      </c>
      <c r="E37" s="15">
        <v>948005579</v>
      </c>
      <c r="F37" s="15">
        <v>948005579</v>
      </c>
      <c r="G37" s="14" t="s">
        <v>24</v>
      </c>
      <c r="H37" s="16">
        <v>0.00149001846200312</v>
      </c>
      <c r="I37" s="16">
        <v>0.0014137305201836375</v>
      </c>
      <c r="J37" s="14" t="s">
        <v>20</v>
      </c>
    </row>
    <row r="38">
      <c r="B38" s="14">
        <v>29</v>
      </c>
      <c r="C38" s="23" t="s">
        <v>256</v>
      </c>
      <c r="D38" s="24">
        <v>0.0593</v>
      </c>
      <c r="E38" s="15">
        <v>62218800</v>
      </c>
      <c r="F38" s="15">
        <v>44830800</v>
      </c>
      <c r="G38" s="14" t="s">
        <v>20</v>
      </c>
      <c r="H38" s="16">
        <v>0.001212067232586</v>
      </c>
      <c r="I38" s="16">
        <v>0.000828622178203323</v>
      </c>
      <c r="J38" s="14" t="s">
        <v>20</v>
      </c>
    </row>
    <row r="39">
      <c r="B39" s="14">
        <v>30</v>
      </c>
      <c r="C39" s="23" t="s">
        <v>257</v>
      </c>
      <c r="D39" s="24">
        <v>0.2015</v>
      </c>
      <c r="E39" s="15">
        <v>1427282015</v>
      </c>
      <c r="F39" s="15">
        <v>1380688075</v>
      </c>
      <c r="G39" s="14" t="s">
        <v>20</v>
      </c>
      <c r="H39" s="16">
        <v>0.017851743940027</v>
      </c>
      <c r="I39" s="16">
        <v>0.016384810155657667</v>
      </c>
      <c r="J39" s="14" t="s">
        <v>20</v>
      </c>
    </row>
    <row r="40">
      <c r="B40" s="14">
        <v>31</v>
      </c>
      <c r="C40" s="23" t="s">
        <v>258</v>
      </c>
      <c r="D40" s="24">
        <v>0.494</v>
      </c>
      <c r="E40" s="15">
        <v>1979574143</v>
      </c>
      <c r="F40" s="15">
        <v>1979574143</v>
      </c>
      <c r="G40" s="14" t="s">
        <v>24</v>
      </c>
      <c r="H40" s="16">
        <v>0.013760170911991101</v>
      </c>
      <c r="I40" s="16">
        <v>0.013055659430604809</v>
      </c>
      <c r="J40" s="14" t="s">
        <v>20</v>
      </c>
    </row>
    <row r="41">
      <c r="B41" s="14">
        <v>32</v>
      </c>
      <c r="C41" s="23" t="s">
        <v>259</v>
      </c>
      <c r="D41" s="24">
        <v>0.0905</v>
      </c>
      <c r="E41" s="15">
        <v>101360000</v>
      </c>
      <c r="F41" s="15">
        <v>101360000</v>
      </c>
      <c r="G41" s="14" t="s">
        <v>24</v>
      </c>
      <c r="H41" s="16">
        <v>0.00070007344361596</v>
      </c>
      <c r="I41" s="16">
        <v>0.00066423015494316477</v>
      </c>
      <c r="J41" s="14" t="s">
        <v>24</v>
      </c>
    </row>
    <row r="42">
      <c r="B42" s="14">
        <v>33</v>
      </c>
      <c r="C42" s="23" t="s">
        <v>260</v>
      </c>
      <c r="D42" s="24">
        <v>0.0597</v>
      </c>
      <c r="E42" s="15">
        <v>891267270</v>
      </c>
      <c r="F42" s="15">
        <v>891267270</v>
      </c>
      <c r="G42" s="14" t="s">
        <v>24</v>
      </c>
      <c r="H42" s="16">
        <v>0.00041433312984162</v>
      </c>
      <c r="I42" s="16">
        <v>0.00039311955273047146</v>
      </c>
      <c r="J42" s="14" t="s">
        <v>24</v>
      </c>
    </row>
    <row r="43">
      <c r="B43" s="14">
        <v>34</v>
      </c>
      <c r="C43" s="23" t="s">
        <v>261</v>
      </c>
      <c r="D43" s="24">
        <v>0.0967</v>
      </c>
      <c r="E43" s="15">
        <v>219750750</v>
      </c>
      <c r="F43" s="15">
        <v>219750750</v>
      </c>
      <c r="G43" s="14" t="s">
        <v>24</v>
      </c>
      <c r="H43" s="16">
        <v>0.00065186486270118</v>
      </c>
      <c r="I43" s="16">
        <v>0.00061848982089304934</v>
      </c>
      <c r="J43" s="14" t="s">
        <v>20</v>
      </c>
    </row>
    <row r="44">
      <c r="B44" s="14">
        <v>35</v>
      </c>
      <c r="C44" s="23" t="s">
        <v>262</v>
      </c>
      <c r="D44" s="24">
        <v>0.0938</v>
      </c>
      <c r="E44" s="15">
        <v>92003142</v>
      </c>
      <c r="F44" s="15">
        <v>92003142</v>
      </c>
      <c r="G44" s="14" t="s">
        <v>24</v>
      </c>
      <c r="H44" s="16">
        <v>0.00017515539477639002</v>
      </c>
      <c r="I44" s="16">
        <v>0.00016618755667751188</v>
      </c>
      <c r="J44" s="14" t="s">
        <v>24</v>
      </c>
    </row>
    <row r="45">
      <c r="B45" s="14">
        <v>36</v>
      </c>
      <c r="C45" s="23" t="s">
        <v>263</v>
      </c>
      <c r="D45" s="24">
        <v>0.211</v>
      </c>
      <c r="E45" s="15">
        <v>65832000</v>
      </c>
      <c r="F45" s="15">
        <v>65832000</v>
      </c>
      <c r="G45" s="14" t="s">
        <v>24</v>
      </c>
      <c r="H45" s="16">
        <v>0.00210584937442074</v>
      </c>
      <c r="I45" s="16">
        <v>0.0019980313051637354</v>
      </c>
      <c r="J45" s="14" t="s">
        <v>20</v>
      </c>
    </row>
    <row r="46">
      <c r="B46" s="14">
        <v>37</v>
      </c>
      <c r="C46" s="23" t="s">
        <v>264</v>
      </c>
      <c r="D46" s="24">
        <v>0.2872</v>
      </c>
      <c r="E46" s="15">
        <v>371294501</v>
      </c>
      <c r="F46" s="15">
        <v>371294501</v>
      </c>
      <c r="G46" s="14" t="s">
        <v>24</v>
      </c>
      <c r="H46" s="16">
        <v>0.00068221147055782</v>
      </c>
      <c r="I46" s="16">
        <v>0.000647282702314117</v>
      </c>
      <c r="J46" s="14" t="s">
        <v>20</v>
      </c>
    </row>
    <row r="47">
      <c r="B47" s="14">
        <v>38</v>
      </c>
      <c r="C47" s="23" t="s">
        <v>265</v>
      </c>
      <c r="D47" s="24">
        <v>0.6266</v>
      </c>
      <c r="E47" s="15">
        <v>574431369</v>
      </c>
      <c r="F47" s="15">
        <v>691392040</v>
      </c>
      <c r="G47" s="14" t="s">
        <v>19</v>
      </c>
      <c r="H47" s="16">
        <v>0.00130977826879871</v>
      </c>
      <c r="I47" s="16">
        <v>0.0014957499320548192</v>
      </c>
      <c r="J47" s="14" t="s">
        <v>19</v>
      </c>
    </row>
    <row r="48" s="7" customFormat="1">
      <c r="B48" s="14">
        <v>39</v>
      </c>
      <c r="C48" s="23" t="s">
        <v>266</v>
      </c>
      <c r="D48" s="24">
        <v>0.0987</v>
      </c>
      <c r="E48" s="15">
        <v>51339792</v>
      </c>
      <c r="F48" s="15">
        <v>51339792</v>
      </c>
      <c r="G48" s="14" t="s">
        <v>24</v>
      </c>
      <c r="H48" s="16">
        <v>0.00045688044017853</v>
      </c>
      <c r="I48" s="16">
        <v>0.00043348846944230772</v>
      </c>
      <c r="J48" s="14" t="s">
        <v>20</v>
      </c>
      <c r="L48" s="6"/>
    </row>
    <row r="49" s="7" customFormat="1">
      <c r="B49" s="14">
        <v>40</v>
      </c>
      <c r="C49" s="23" t="s">
        <v>267</v>
      </c>
      <c r="D49" s="24">
        <v>0.1973</v>
      </c>
      <c r="E49" s="15">
        <v>749740061</v>
      </c>
      <c r="F49" s="15">
        <v>749740061</v>
      </c>
      <c r="G49" s="14" t="s">
        <v>24</v>
      </c>
      <c r="H49" s="16">
        <v>0.0126138225518854</v>
      </c>
      <c r="I49" s="16">
        <v>0.011968003337778709</v>
      </c>
      <c r="J49" s="14" t="s">
        <v>20</v>
      </c>
      <c r="L49" s="6"/>
    </row>
    <row r="50">
      <c r="B50" s="14">
        <v>41</v>
      </c>
      <c r="C50" s="23" t="s">
        <v>268</v>
      </c>
      <c r="D50" s="24">
        <v>0.2391</v>
      </c>
      <c r="E50" s="15">
        <v>1830957055</v>
      </c>
      <c r="F50" s="15">
        <v>1824851321</v>
      </c>
      <c r="G50" s="14" t="s">
        <v>20</v>
      </c>
      <c r="H50" s="16">
        <v>0.0020671440505581</v>
      </c>
      <c r="I50" s="16">
        <v>0.00195476725012973</v>
      </c>
      <c r="J50" s="14" t="s">
        <v>20</v>
      </c>
    </row>
    <row r="51">
      <c r="B51" s="14">
        <v>42</v>
      </c>
      <c r="C51" s="23" t="s">
        <v>269</v>
      </c>
      <c r="D51" s="24">
        <v>0.0065</v>
      </c>
      <c r="E51" s="15">
        <v>4924277</v>
      </c>
      <c r="F51" s="15">
        <v>4924277</v>
      </c>
      <c r="G51" s="14" t="s">
        <v>24</v>
      </c>
      <c r="H51" s="16">
        <v>0.00014171252452927</v>
      </c>
      <c r="I51" s="16">
        <v>0.00013445692509282038</v>
      </c>
      <c r="J51" s="14" t="s">
        <v>24</v>
      </c>
    </row>
    <row r="52">
      <c r="B52" s="14">
        <v>43</v>
      </c>
      <c r="C52" s="23" t="s">
        <v>270</v>
      </c>
      <c r="D52" s="24">
        <v>0.2</v>
      </c>
      <c r="E52" s="15">
        <v>750000000</v>
      </c>
      <c r="F52" s="15">
        <v>750000000</v>
      </c>
      <c r="G52" s="14" t="s">
        <v>24</v>
      </c>
      <c r="H52" s="16">
        <v>0.00263985939148107</v>
      </c>
      <c r="I52" s="16">
        <v>0.0025047003691137833</v>
      </c>
      <c r="J52" s="14" t="s">
        <v>20</v>
      </c>
    </row>
    <row r="53">
      <c r="B53" s="14">
        <v>44</v>
      </c>
      <c r="C53" s="23" t="s">
        <v>271</v>
      </c>
      <c r="D53" s="24">
        <v>0.0467</v>
      </c>
      <c r="E53" s="15">
        <v>1917027000</v>
      </c>
      <c r="F53" s="15">
        <v>308920500</v>
      </c>
      <c r="G53" s="14" t="s">
        <v>20</v>
      </c>
      <c r="H53" s="16">
        <v>0.0125615244610746</v>
      </c>
      <c r="I53" s="16">
        <v>0.0019205951694049235</v>
      </c>
      <c r="J53" s="14" t="s">
        <v>20</v>
      </c>
    </row>
    <row r="54">
      <c r="B54" s="14">
        <v>45</v>
      </c>
      <c r="C54" s="23" t="s">
        <v>272</v>
      </c>
      <c r="D54" s="24">
        <v>0.3318</v>
      </c>
      <c r="E54" s="15">
        <v>1042831004</v>
      </c>
      <c r="F54" s="15">
        <v>1042831004</v>
      </c>
      <c r="G54" s="14" t="s">
        <v>24</v>
      </c>
      <c r="H54" s="16">
        <v>0.00221619298184617</v>
      </c>
      <c r="I54" s="16">
        <v>0.0021027253944352854</v>
      </c>
      <c r="J54" s="14" t="s">
        <v>20</v>
      </c>
    </row>
    <row r="55">
      <c r="B55" s="14">
        <v>46</v>
      </c>
      <c r="C55" s="23" t="s">
        <v>273</v>
      </c>
      <c r="D55" s="24">
        <v>0.2547</v>
      </c>
      <c r="E55" s="15">
        <v>847129668</v>
      </c>
      <c r="F55" s="15">
        <v>847486703</v>
      </c>
      <c r="G55" s="14" t="s">
        <v>19</v>
      </c>
      <c r="H55" s="16">
        <v>0.00170652907420005</v>
      </c>
      <c r="I55" s="16">
        <v>0.0016198383517317559</v>
      </c>
      <c r="J55" s="14" t="s">
        <v>20</v>
      </c>
    </row>
    <row r="56">
      <c r="B56" s="14">
        <v>47</v>
      </c>
      <c r="C56" s="23" t="s">
        <v>274</v>
      </c>
      <c r="D56" s="24">
        <v>0.4107</v>
      </c>
      <c r="E56" s="15">
        <v>805159346</v>
      </c>
      <c r="F56" s="15">
        <v>1108916645</v>
      </c>
      <c r="G56" s="14" t="s">
        <v>19</v>
      </c>
      <c r="H56" s="16">
        <v>0.00114073356406976</v>
      </c>
      <c r="I56" s="16">
        <v>0.0014906520043646619</v>
      </c>
      <c r="J56" s="14" t="s">
        <v>19</v>
      </c>
    </row>
    <row r="57">
      <c r="B57" s="14">
        <v>48</v>
      </c>
      <c r="C57" s="23" t="s">
        <v>275</v>
      </c>
      <c r="D57" s="24">
        <v>0.2857</v>
      </c>
      <c r="E57" s="15">
        <v>899955000</v>
      </c>
      <c r="F57" s="15">
        <v>899955000</v>
      </c>
      <c r="G57" s="14" t="s">
        <v>24</v>
      </c>
      <c r="H57" s="16">
        <v>0.00239069651185947</v>
      </c>
      <c r="I57" s="16">
        <v>0.0022682944610674669</v>
      </c>
      <c r="J57" s="14" t="s">
        <v>20</v>
      </c>
    </row>
    <row r="58">
      <c r="B58" s="14">
        <v>49</v>
      </c>
      <c r="C58" s="23" t="s">
        <v>276</v>
      </c>
      <c r="D58" s="24">
        <v>0.5007</v>
      </c>
      <c r="E58" s="15">
        <v>1656860601</v>
      </c>
      <c r="F58" s="15">
        <v>1715446863</v>
      </c>
      <c r="G58" s="14" t="s">
        <v>19</v>
      </c>
      <c r="H58" s="16">
        <v>0.00414464007568558</v>
      </c>
      <c r="I58" s="16">
        <v>0.0040714874984220011</v>
      </c>
      <c r="J58" s="14" t="s">
        <v>24</v>
      </c>
    </row>
    <row r="59">
      <c r="B59" s="14">
        <v>50</v>
      </c>
      <c r="C59" s="23" t="s">
        <v>277</v>
      </c>
      <c r="D59" s="24">
        <v>0.2349</v>
      </c>
      <c r="E59" s="15">
        <v>744445080</v>
      </c>
      <c r="F59" s="15">
        <v>744445080</v>
      </c>
      <c r="G59" s="14" t="s">
        <v>24</v>
      </c>
      <c r="H59" s="16">
        <v>0.00098879513754962</v>
      </c>
      <c r="I59" s="16">
        <v>0.00093816949265959257</v>
      </c>
      <c r="J59" s="14" t="s">
        <v>20</v>
      </c>
    </row>
    <row r="60">
      <c r="B60" s="14">
        <v>51</v>
      </c>
      <c r="C60" s="23" t="s">
        <v>278</v>
      </c>
      <c r="D60" s="24">
        <v>0.0901</v>
      </c>
      <c r="E60" s="15">
        <v>73187690</v>
      </c>
      <c r="F60" s="15">
        <v>74092257</v>
      </c>
      <c r="G60" s="14" t="s">
        <v>19</v>
      </c>
      <c r="H60" s="16">
        <v>0.00377499489420898</v>
      </c>
      <c r="I60" s="16">
        <v>0.0036259861396586374</v>
      </c>
      <c r="J60" s="14" t="s">
        <v>20</v>
      </c>
    </row>
    <row r="61">
      <c r="B61" s="14">
        <v>52</v>
      </c>
      <c r="C61" s="23" t="s">
        <v>279</v>
      </c>
      <c r="D61" s="24">
        <v>0.2406</v>
      </c>
      <c r="E61" s="15">
        <v>188840600</v>
      </c>
      <c r="F61" s="15">
        <v>115728600</v>
      </c>
      <c r="G61" s="14" t="s">
        <v>20</v>
      </c>
      <c r="H61" s="16">
        <v>0.0458798836867677</v>
      </c>
      <c r="I61" s="16">
        <v>0.026677345927285614</v>
      </c>
      <c r="J61" s="14" t="s">
        <v>20</v>
      </c>
    </row>
    <row r="62">
      <c r="B62" s="14">
        <v>53</v>
      </c>
      <c r="C62" s="23" t="s">
        <v>280</v>
      </c>
      <c r="D62" s="24">
        <v>0.1183</v>
      </c>
      <c r="E62" s="15">
        <v>887250000</v>
      </c>
      <c r="F62" s="15">
        <v>887250000</v>
      </c>
      <c r="G62" s="14" t="s">
        <v>24</v>
      </c>
      <c r="H62" s="16">
        <v>0.00872070078675607</v>
      </c>
      <c r="I62" s="16">
        <v>0.0082742067816210865</v>
      </c>
      <c r="J62" s="14" t="s">
        <v>20</v>
      </c>
    </row>
    <row r="63">
      <c r="B63" s="14">
        <v>54</v>
      </c>
      <c r="C63" s="23" t="s">
        <v>281</v>
      </c>
      <c r="D63" s="24">
        <v>0.154</v>
      </c>
      <c r="E63" s="15">
        <v>1486033267</v>
      </c>
      <c r="F63" s="15">
        <v>1347756909</v>
      </c>
      <c r="G63" s="14" t="s">
        <v>20</v>
      </c>
      <c r="H63" s="16">
        <v>0.0075004235112374092</v>
      </c>
      <c r="I63" s="16">
        <v>0.0064542206100406292</v>
      </c>
      <c r="J63" s="14" t="s">
        <v>20</v>
      </c>
    </row>
    <row r="64">
      <c r="B64" s="14">
        <v>55</v>
      </c>
      <c r="C64" s="23" t="s">
        <v>282</v>
      </c>
      <c r="D64" s="24">
        <v>0.0316</v>
      </c>
      <c r="E64" s="15">
        <v>25261490</v>
      </c>
      <c r="F64" s="15">
        <v>25261490</v>
      </c>
      <c r="G64" s="14" t="s">
        <v>24</v>
      </c>
      <c r="H64" s="16">
        <v>0.00046974336738127005</v>
      </c>
      <c r="I64" s="16">
        <v>0.00044569281813802784</v>
      </c>
      <c r="J64" s="14" t="s">
        <v>20</v>
      </c>
    </row>
    <row r="65">
      <c r="B65" s="14">
        <v>56</v>
      </c>
      <c r="C65" s="23" t="s">
        <v>283</v>
      </c>
      <c r="D65" s="24">
        <v>0.3499</v>
      </c>
      <c r="E65" s="15">
        <v>1080000000</v>
      </c>
      <c r="F65" s="15">
        <v>944730000</v>
      </c>
      <c r="G65" s="14" t="s">
        <v>20</v>
      </c>
      <c r="H65" s="16">
        <v>0.015181681934404301</v>
      </c>
      <c r="I65" s="16">
        <v>0.012600240193858862</v>
      </c>
      <c r="J65" s="14" t="s">
        <v>20</v>
      </c>
    </row>
    <row r="66">
      <c r="B66" s="14">
        <v>57</v>
      </c>
      <c r="C66" s="23" t="s">
        <v>284</v>
      </c>
      <c r="D66" s="24">
        <v>0.177</v>
      </c>
      <c r="E66" s="15">
        <v>104076000</v>
      </c>
      <c r="F66" s="15">
        <v>104076000</v>
      </c>
      <c r="G66" s="14" t="s">
        <v>24</v>
      </c>
      <c r="H66" s="16">
        <v>0.00231546948476246</v>
      </c>
      <c r="I66" s="16">
        <v>0.0021969190070772792</v>
      </c>
      <c r="J66" s="14" t="s">
        <v>20</v>
      </c>
    </row>
    <row r="67">
      <c r="B67" s="14">
        <v>58</v>
      </c>
      <c r="C67" s="23" t="s">
        <v>285</v>
      </c>
      <c r="D67" s="24">
        <v>0.0751</v>
      </c>
      <c r="E67" s="15">
        <v>775032000</v>
      </c>
      <c r="F67" s="15">
        <v>775032000</v>
      </c>
      <c r="G67" s="14" t="s">
        <v>24</v>
      </c>
      <c r="H67" s="16">
        <v>0.00466671142188975</v>
      </c>
      <c r="I67" s="16">
        <v>0.0044277789410582672</v>
      </c>
      <c r="J67" s="14" t="s">
        <v>20</v>
      </c>
    </row>
    <row r="68">
      <c r="B68" s="14">
        <v>59</v>
      </c>
      <c r="C68" s="23" t="s">
        <v>286</v>
      </c>
      <c r="D68" s="24">
        <v>0.028</v>
      </c>
      <c r="E68" s="15">
        <v>33600000</v>
      </c>
      <c r="F68" s="15">
        <v>33600000</v>
      </c>
      <c r="G68" s="14" t="s">
        <v>24</v>
      </c>
      <c r="H68" s="16">
        <v>3.71904719303E-05</v>
      </c>
      <c r="I68" s="16">
        <v>3.5286344822735063E-05</v>
      </c>
      <c r="J68" s="14" t="s">
        <v>24</v>
      </c>
    </row>
    <row r="69">
      <c r="B69" s="14">
        <v>60</v>
      </c>
      <c r="C69" s="23" t="s">
        <v>287</v>
      </c>
      <c r="D69" s="24">
        <v>0.3005</v>
      </c>
      <c r="E69" s="15">
        <v>364261880</v>
      </c>
      <c r="F69" s="15">
        <v>323056728</v>
      </c>
      <c r="G69" s="14" t="s">
        <v>20</v>
      </c>
      <c r="H69" s="16">
        <v>0.237678526375148</v>
      </c>
      <c r="I69" s="16">
        <v>0.2</v>
      </c>
      <c r="J69" s="14" t="s">
        <v>20</v>
      </c>
    </row>
    <row r="70">
      <c r="B70" s="14">
        <v>61</v>
      </c>
      <c r="C70" s="23" t="s">
        <v>288</v>
      </c>
      <c r="D70" s="24">
        <v>0.2</v>
      </c>
      <c r="E70" s="15">
        <v>615000000</v>
      </c>
      <c r="F70" s="15">
        <v>615000000</v>
      </c>
      <c r="G70" s="14" t="s">
        <v>24</v>
      </c>
      <c r="H70" s="16">
        <v>0.00721561567004826</v>
      </c>
      <c r="I70" s="16">
        <v>0.0068461810089110071</v>
      </c>
      <c r="J70" s="14" t="s">
        <v>20</v>
      </c>
    </row>
    <row r="71">
      <c r="B71" s="14">
        <v>62</v>
      </c>
      <c r="C71" s="23" t="s">
        <v>289</v>
      </c>
      <c r="D71" s="24">
        <v>0.1508</v>
      </c>
      <c r="E71" s="15">
        <v>624587070</v>
      </c>
      <c r="F71" s="15">
        <v>626664871</v>
      </c>
      <c r="G71" s="14" t="s">
        <v>19</v>
      </c>
      <c r="H71" s="16">
        <v>0.0025579209884224103</v>
      </c>
      <c r="I71" s="16">
        <v>0.002435030866971586</v>
      </c>
      <c r="J71" s="14" t="s">
        <v>20</v>
      </c>
    </row>
    <row r="72">
      <c r="B72" s="14">
        <v>63</v>
      </c>
      <c r="C72" s="23" t="s">
        <v>290</v>
      </c>
      <c r="D72" s="24">
        <v>0.2</v>
      </c>
      <c r="E72" s="15">
        <v>502141253</v>
      </c>
      <c r="F72" s="15">
        <v>502141253</v>
      </c>
      <c r="G72" s="14" t="s">
        <v>24</v>
      </c>
      <c r="H72" s="16">
        <v>0.0005557997075816</v>
      </c>
      <c r="I72" s="16">
        <v>0.00052734313657630094</v>
      </c>
      <c r="J72" s="14" t="s">
        <v>20</v>
      </c>
    </row>
    <row r="73" ht="14.5" customHeight="1">
      <c r="B73" s="30" t="s">
        <v>112</v>
      </c>
      <c r="C73" s="30"/>
      <c r="D73" s="30"/>
      <c r="E73" s="30"/>
      <c r="F73" s="30"/>
      <c r="G73" s="30"/>
      <c r="H73" s="30"/>
      <c r="I73" s="30"/>
      <c r="J73" s="30"/>
    </row>
    <row r="74">
      <c r="B74" s="31"/>
      <c r="C74" s="31"/>
      <c r="D74" s="31"/>
      <c r="E74" s="31"/>
      <c r="F74" s="31"/>
      <c r="G74" s="31"/>
      <c r="H74" s="31"/>
      <c r="I74" s="31"/>
      <c r="J74" s="31"/>
    </row>
    <row r="76">
      <c r="D76" s="26"/>
      <c r="E76" s="26"/>
    </row>
  </sheetData>
  <mergeCells>
    <mergeCell ref="B73:J74"/>
    <mergeCell ref="B2:H2"/>
    <mergeCell ref="B8:B9"/>
    <mergeCell ref="C8:C9"/>
    <mergeCell ref="D8:D9"/>
    <mergeCell ref="E8:G8"/>
    <mergeCell ref="H8:J8"/>
  </mergeCells>
  <conditionalFormatting sqref="B73">
    <cfRule type="expression" dxfId="0" priority="1">
      <formula>$H73="Baru"</formula>
    </cfRule>
  </conditionalFormatting>
  <conditionalFormatting sqref="B10:J72">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524A-0476-423F-AC9A-BA24F149C7E3}">
  <dimension ref="A2:Q136"/>
  <sheetViews>
    <sheetView topLeftCell="A8" workbookViewId="0">
      <selection activeCell="F18" sqref="F18"/>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2" width="8.81640625" customWidth="1" style="6"/>
    <col min="13" max="13" bestFit="1" width="8.81640625" customWidth="1" style="6"/>
    <col min="14" max="15" bestFit="1" width="11.81640625" customWidth="1" style="6"/>
    <col min="16" max="16" width="8.81640625" customWidth="1" style="6"/>
    <col min="17" max="17" bestFit="1" width="8.81640625" customWidth="1" style="6"/>
    <col min="18" max="16384" width="8.81640625" customWidth="1" style="6"/>
  </cols>
  <sheetData>
    <row r="2">
      <c r="B2" s="32" t="str">
        <f>LEFT('A ENERGY'!B2,9) &amp; (VALUE(MID('A ENERGY'!B2,10,1))+3) &amp; _xlfn.TEXTAFTER('A ENERGY'!B2,"Lampiran 5")</f>
        <v>Lampiran 8 Pengumuman BEI No. Peng-00044/BEI.POP/03-2026 tanggal 25 Maret 2026</v>
      </c>
      <c r="C2" s="32"/>
      <c r="D2" s="32"/>
      <c r="E2" s="32"/>
      <c r="F2" s="32"/>
      <c r="G2" s="32"/>
      <c r="H2" s="32"/>
    </row>
    <row r="3">
      <c r="B3" s="5" t="s">
        <v>1</v>
      </c>
      <c r="F3" s="22"/>
      <c r="G3" s="22" t="s">
        <v>291</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292</v>
      </c>
      <c r="D10" s="24">
        <v>0.203</v>
      </c>
      <c r="E10" s="15">
        <v>390711732</v>
      </c>
      <c r="F10" s="15">
        <v>390711732</v>
      </c>
      <c r="G10" s="14" t="s">
        <v>24</v>
      </c>
      <c r="H10" s="16">
        <v>0.0141407725665858</v>
      </c>
      <c r="I10" s="16">
        <v>0.014488316119045653</v>
      </c>
      <c r="J10" s="14" t="s">
        <v>19</v>
      </c>
    </row>
    <row r="11">
      <c r="B11" s="14">
        <v>2</v>
      </c>
      <c r="C11" s="23" t="s">
        <v>293</v>
      </c>
      <c r="D11" s="24">
        <v>0.0853</v>
      </c>
      <c r="E11" s="15">
        <v>50318197</v>
      </c>
      <c r="F11" s="15">
        <v>50318197</v>
      </c>
      <c r="G11" s="14" t="s">
        <v>24</v>
      </c>
      <c r="H11" s="16">
        <v>0.00378720126447393</v>
      </c>
      <c r="I11" s="16">
        <v>0.0038802808663890042</v>
      </c>
      <c r="J11" s="14" t="s">
        <v>19</v>
      </c>
    </row>
    <row r="12">
      <c r="B12" s="14">
        <v>3</v>
      </c>
      <c r="C12" s="23" t="s">
        <v>294</v>
      </c>
      <c r="D12" s="24">
        <v>0.2501</v>
      </c>
      <c r="E12" s="15">
        <v>250100000</v>
      </c>
      <c r="F12" s="15">
        <v>250100000</v>
      </c>
      <c r="G12" s="14" t="s">
        <v>24</v>
      </c>
      <c r="H12" s="16">
        <v>0.00025557754432704</v>
      </c>
      <c r="I12" s="16">
        <v>0.0002618589784613115</v>
      </c>
      <c r="J12" s="14" t="s">
        <v>24</v>
      </c>
    </row>
    <row r="13">
      <c r="B13" s="14">
        <v>4</v>
      </c>
      <c r="C13" s="23" t="s">
        <v>295</v>
      </c>
      <c r="D13" s="24">
        <v>0.2572</v>
      </c>
      <c r="E13" s="15">
        <v>2402444400</v>
      </c>
      <c r="F13" s="15">
        <v>2394994960</v>
      </c>
      <c r="G13" s="14" t="s">
        <v>20</v>
      </c>
      <c r="H13" s="16">
        <v>0.00142008449827598</v>
      </c>
      <c r="I13" s="16">
        <v>0.0014504749114115055</v>
      </c>
      <c r="J13" s="14" t="s">
        <v>19</v>
      </c>
    </row>
    <row r="14">
      <c r="B14" s="14">
        <v>5</v>
      </c>
      <c r="C14" s="23" t="s">
        <v>296</v>
      </c>
      <c r="D14" s="24">
        <v>0.2629</v>
      </c>
      <c r="E14" s="15">
        <v>576242770</v>
      </c>
      <c r="F14" s="15">
        <v>576242770</v>
      </c>
      <c r="G14" s="14" t="s">
        <v>24</v>
      </c>
      <c r="H14" s="16">
        <v>5.1958526739709995E-05</v>
      </c>
      <c r="I14" s="16">
        <v>5.3235532734748725E-05</v>
      </c>
      <c r="J14" s="14" t="s">
        <v>24</v>
      </c>
    </row>
    <row r="15">
      <c r="B15" s="14">
        <v>6</v>
      </c>
      <c r="C15" s="23" t="s">
        <v>297</v>
      </c>
      <c r="D15" s="24">
        <v>0.4115</v>
      </c>
      <c r="E15" s="15">
        <v>10713481704</v>
      </c>
      <c r="F15" s="15">
        <v>12348964862</v>
      </c>
      <c r="G15" s="14" t="s">
        <v>19</v>
      </c>
      <c r="H15" s="16">
        <v>0.0762075167980521</v>
      </c>
      <c r="I15" s="16">
        <v>0.09</v>
      </c>
      <c r="J15" s="14" t="s">
        <v>19</v>
      </c>
    </row>
    <row r="16">
      <c r="B16" s="14">
        <v>7</v>
      </c>
      <c r="C16" s="23" t="s">
        <v>298</v>
      </c>
      <c r="D16" s="24">
        <v>0.4101</v>
      </c>
      <c r="E16" s="15">
        <v>3834435000</v>
      </c>
      <c r="F16" s="15">
        <v>3834435000</v>
      </c>
      <c r="G16" s="14" t="s">
        <v>24</v>
      </c>
      <c r="H16" s="16">
        <v>0.00042257411909738</v>
      </c>
      <c r="I16" s="16">
        <v>0.00043295989654488354</v>
      </c>
      <c r="J16" s="14" t="s">
        <v>24</v>
      </c>
    </row>
    <row r="17">
      <c r="B17" s="14">
        <v>8</v>
      </c>
      <c r="C17" s="23" t="s">
        <v>299</v>
      </c>
      <c r="D17" s="24">
        <v>0.0163</v>
      </c>
      <c r="E17" s="15">
        <v>55679305</v>
      </c>
      <c r="F17" s="15">
        <v>54673053</v>
      </c>
      <c r="G17" s="14" t="s">
        <v>20</v>
      </c>
      <c r="H17" s="16">
        <v>0.00041837324016676006</v>
      </c>
      <c r="I17" s="16">
        <v>0.00042090897984957935</v>
      </c>
      <c r="J17" s="14" t="s">
        <v>24</v>
      </c>
    </row>
    <row r="18" s="7" customFormat="1">
      <c r="B18" s="14">
        <v>9</v>
      </c>
      <c r="C18" s="23" t="s">
        <v>300</v>
      </c>
      <c r="D18" s="24">
        <v>0.445</v>
      </c>
      <c r="E18" s="15">
        <v>1250000000</v>
      </c>
      <c r="F18" s="15">
        <v>2225000000</v>
      </c>
      <c r="G18" s="14" t="s">
        <v>19</v>
      </c>
      <c r="H18" s="16">
        <v>0.0004007456536241</v>
      </c>
      <c r="I18" s="16">
        <v>0.00073085900018209885</v>
      </c>
      <c r="J18" s="14" t="s">
        <v>19</v>
      </c>
      <c r="L18" s="6"/>
      <c r="Q18" s="6"/>
    </row>
    <row r="19" s="7" customFormat="1">
      <c r="B19" s="14">
        <v>10</v>
      </c>
      <c r="C19" s="23" t="s">
        <v>301</v>
      </c>
      <c r="D19" s="24">
        <v>0.2097</v>
      </c>
      <c r="E19" s="15">
        <v>874000000</v>
      </c>
      <c r="F19" s="15">
        <v>838800000</v>
      </c>
      <c r="G19" s="14" t="s">
        <v>20</v>
      </c>
      <c r="H19" s="16">
        <v>0.00131344387975297</v>
      </c>
      <c r="I19" s="16">
        <v>0.00129152639610831</v>
      </c>
      <c r="J19" s="14" t="s">
        <v>24</v>
      </c>
      <c r="L19" s="6"/>
      <c r="Q19" s="6"/>
    </row>
    <row r="20">
      <c r="B20" s="14">
        <v>11</v>
      </c>
      <c r="C20" s="23" t="s">
        <v>302</v>
      </c>
      <c r="D20" s="24">
        <v>0.1004</v>
      </c>
      <c r="E20" s="15">
        <v>773859787</v>
      </c>
      <c r="F20" s="15">
        <v>815273060</v>
      </c>
      <c r="G20" s="14" t="s">
        <v>19</v>
      </c>
      <c r="H20" s="16">
        <v>0.00099238702769509986</v>
      </c>
      <c r="I20" s="16">
        <v>0.0010711903878531351</v>
      </c>
      <c r="J20" s="14" t="s">
        <v>19</v>
      </c>
    </row>
    <row r="21">
      <c r="B21" s="14">
        <v>12</v>
      </c>
      <c r="C21" s="23" t="s">
        <v>303</v>
      </c>
      <c r="D21" s="24">
        <v>0.2068</v>
      </c>
      <c r="E21" s="15">
        <v>827200000</v>
      </c>
      <c r="F21" s="15">
        <v>827200000</v>
      </c>
      <c r="G21" s="14" t="s">
        <v>24</v>
      </c>
      <c r="H21" s="16">
        <v>0.00050553262713372</v>
      </c>
      <c r="I21" s="16">
        <v>0.00051795730985939</v>
      </c>
      <c r="J21" s="14" t="s">
        <v>24</v>
      </c>
    </row>
    <row r="22">
      <c r="B22" s="14">
        <v>13</v>
      </c>
      <c r="C22" s="23" t="s">
        <v>304</v>
      </c>
      <c r="D22" s="24">
        <v>0.3537</v>
      </c>
      <c r="E22" s="15">
        <v>1035900000</v>
      </c>
      <c r="F22" s="15">
        <v>1061100000</v>
      </c>
      <c r="G22" s="14" t="s">
        <v>19</v>
      </c>
      <c r="H22" s="16">
        <v>0.00422916155512748</v>
      </c>
      <c r="I22" s="16">
        <v>0.0044385133802737255</v>
      </c>
      <c r="J22" s="14" t="s">
        <v>19</v>
      </c>
    </row>
    <row r="23">
      <c r="B23" s="14">
        <v>14</v>
      </c>
      <c r="C23" s="23" t="s">
        <v>305</v>
      </c>
      <c r="D23" s="24">
        <v>0.1911</v>
      </c>
      <c r="E23" s="15">
        <v>221904000</v>
      </c>
      <c r="F23" s="15">
        <v>220863825</v>
      </c>
      <c r="G23" s="14" t="s">
        <v>20</v>
      </c>
      <c r="H23" s="16">
        <v>0.00016896142069142</v>
      </c>
      <c r="I23" s="16">
        <v>0.00017230258269674084</v>
      </c>
      <c r="J23" s="14" t="s">
        <v>24</v>
      </c>
    </row>
    <row r="24">
      <c r="B24" s="14">
        <v>15</v>
      </c>
      <c r="C24" s="23" t="s">
        <v>306</v>
      </c>
      <c r="D24" s="24">
        <v>0.4621</v>
      </c>
      <c r="E24" s="15">
        <v>320410375</v>
      </c>
      <c r="F24" s="15">
        <v>459606063</v>
      </c>
      <c r="G24" s="14" t="s">
        <v>19</v>
      </c>
      <c r="H24" s="16">
        <v>0.00011716779695605</v>
      </c>
      <c r="I24" s="16">
        <v>0.00017219963214421539</v>
      </c>
      <c r="J24" s="14" t="s">
        <v>19</v>
      </c>
    </row>
    <row r="25">
      <c r="B25" s="14">
        <v>16</v>
      </c>
      <c r="C25" s="23" t="s">
        <v>307</v>
      </c>
      <c r="D25" s="24">
        <v>0.4797</v>
      </c>
      <c r="E25" s="15">
        <v>22199315012</v>
      </c>
      <c r="F25" s="15">
        <v>22199315012</v>
      </c>
      <c r="G25" s="14" t="s">
        <v>24</v>
      </c>
      <c r="H25" s="16">
        <v>0.0016680523133420899</v>
      </c>
      <c r="I25" s="16">
        <v>0.0017090487191799293</v>
      </c>
      <c r="J25" s="14" t="s">
        <v>24</v>
      </c>
    </row>
    <row r="26">
      <c r="B26" s="14">
        <v>17</v>
      </c>
      <c r="C26" s="23" t="s">
        <v>308</v>
      </c>
      <c r="D26" s="24">
        <v>0.1287</v>
      </c>
      <c r="E26" s="15">
        <v>267400000</v>
      </c>
      <c r="F26" s="15">
        <v>257400000</v>
      </c>
      <c r="G26" s="14" t="s">
        <v>20</v>
      </c>
      <c r="H26" s="16">
        <v>0.00067644363535546</v>
      </c>
      <c r="I26" s="16">
        <v>0.00066715006219571975</v>
      </c>
      <c r="J26" s="14" t="s">
        <v>24</v>
      </c>
    </row>
    <row r="27">
      <c r="B27" s="14">
        <v>18</v>
      </c>
      <c r="C27" s="23" t="s">
        <v>309</v>
      </c>
      <c r="D27" s="24">
        <v>0.4006</v>
      </c>
      <c r="E27" s="15">
        <v>1802298343</v>
      </c>
      <c r="F27" s="15">
        <v>1802298343</v>
      </c>
      <c r="G27" s="14" t="s">
        <v>24</v>
      </c>
      <c r="H27" s="16">
        <v>0.0018778843914770199</v>
      </c>
      <c r="I27" s="16">
        <v>0.0019240379266288192</v>
      </c>
      <c r="J27" s="14" t="s">
        <v>24</v>
      </c>
    </row>
    <row r="28">
      <c r="B28" s="14">
        <v>19</v>
      </c>
      <c r="C28" s="23" t="s">
        <v>310</v>
      </c>
      <c r="D28" s="24">
        <v>0.2398</v>
      </c>
      <c r="E28" s="15">
        <v>7143630941</v>
      </c>
      <c r="F28" s="15">
        <v>7559764782</v>
      </c>
      <c r="G28" s="14" t="s">
        <v>19</v>
      </c>
      <c r="H28" s="16">
        <v>0.0039721059328467504</v>
      </c>
      <c r="I28" s="16">
        <v>0.0043068016603528035</v>
      </c>
      <c r="J28" s="14" t="s">
        <v>19</v>
      </c>
    </row>
    <row r="29">
      <c r="B29" s="14">
        <v>20</v>
      </c>
      <c r="C29" s="23" t="s">
        <v>311</v>
      </c>
      <c r="D29" s="24">
        <v>0.0947</v>
      </c>
      <c r="E29" s="15">
        <v>557309500</v>
      </c>
      <c r="F29" s="15">
        <v>557309500</v>
      </c>
      <c r="G29" s="14" t="s">
        <v>24</v>
      </c>
      <c r="H29" s="16">
        <v>0.00053880620563431</v>
      </c>
      <c r="I29" s="16">
        <v>0.00055204866674623025</v>
      </c>
      <c r="J29" s="14" t="s">
        <v>19</v>
      </c>
    </row>
    <row r="30">
      <c r="B30" s="14">
        <v>21</v>
      </c>
      <c r="C30" s="23" t="s">
        <v>312</v>
      </c>
      <c r="D30" s="24">
        <v>0.0899</v>
      </c>
      <c r="E30" s="15">
        <v>280937500</v>
      </c>
      <c r="F30" s="15">
        <v>280937500</v>
      </c>
      <c r="G30" s="14" t="s">
        <v>24</v>
      </c>
      <c r="H30" s="16">
        <v>0.00115399094116645</v>
      </c>
      <c r="I30" s="16">
        <v>0.0011823530498469091</v>
      </c>
      <c r="J30" s="14" t="s">
        <v>24</v>
      </c>
    </row>
    <row r="31">
      <c r="B31" s="14">
        <v>22</v>
      </c>
      <c r="C31" s="23" t="s">
        <v>313</v>
      </c>
      <c r="D31" s="24">
        <v>0.1284</v>
      </c>
      <c r="E31" s="15">
        <v>76398000</v>
      </c>
      <c r="F31" s="15">
        <v>76398000</v>
      </c>
      <c r="G31" s="14" t="s">
        <v>24</v>
      </c>
      <c r="H31" s="16">
        <v>0.00084194457725328008</v>
      </c>
      <c r="I31" s="16">
        <v>0.00086263739445931425</v>
      </c>
      <c r="J31" s="14" t="s">
        <v>19</v>
      </c>
    </row>
    <row r="32">
      <c r="B32" s="14">
        <v>23</v>
      </c>
      <c r="C32" s="23" t="s">
        <v>314</v>
      </c>
      <c r="D32" s="24">
        <v>0.1236</v>
      </c>
      <c r="E32" s="15">
        <v>2966400000</v>
      </c>
      <c r="F32" s="15">
        <v>2966400000</v>
      </c>
      <c r="G32" s="14" t="s">
        <v>24</v>
      </c>
      <c r="H32" s="16">
        <v>0.0059735788322253505</v>
      </c>
      <c r="I32" s="16">
        <v>0.0061203939293002219</v>
      </c>
      <c r="J32" s="14" t="s">
        <v>19</v>
      </c>
    </row>
    <row r="33">
      <c r="B33" s="14">
        <v>24</v>
      </c>
      <c r="C33" s="23" t="s">
        <v>315</v>
      </c>
      <c r="D33" s="24">
        <v>0.1862</v>
      </c>
      <c r="E33" s="15">
        <v>1468709823</v>
      </c>
      <c r="F33" s="15">
        <v>1477437975</v>
      </c>
      <c r="G33" s="14" t="s">
        <v>19</v>
      </c>
      <c r="H33" s="16">
        <v>0.0331811455223777</v>
      </c>
      <c r="I33" s="16">
        <v>0.034198685201348084</v>
      </c>
      <c r="J33" s="14" t="s">
        <v>19</v>
      </c>
    </row>
    <row r="34">
      <c r="B34" s="14">
        <v>25</v>
      </c>
      <c r="C34" s="23" t="s">
        <v>316</v>
      </c>
      <c r="D34" s="24">
        <v>0.4344</v>
      </c>
      <c r="E34" s="15">
        <v>1552990620</v>
      </c>
      <c r="F34" s="15">
        <v>1546227653</v>
      </c>
      <c r="G34" s="14" t="s">
        <v>20</v>
      </c>
      <c r="H34" s="16">
        <v>0.00228715183598366</v>
      </c>
      <c r="I34" s="16">
        <v>0.0023331592181274571</v>
      </c>
      <c r="J34" s="14" t="s">
        <v>24</v>
      </c>
    </row>
    <row r="35">
      <c r="B35" s="14">
        <v>26</v>
      </c>
      <c r="C35" s="23" t="s">
        <v>317</v>
      </c>
      <c r="D35" s="24">
        <v>0.3414</v>
      </c>
      <c r="E35" s="15">
        <v>4479545298</v>
      </c>
      <c r="F35" s="15">
        <v>4417010102</v>
      </c>
      <c r="G35" s="14" t="s">
        <v>20</v>
      </c>
      <c r="H35" s="16">
        <v>0.0890847310536431</v>
      </c>
      <c r="I35" s="16">
        <v>0.09</v>
      </c>
      <c r="J35" s="14" t="s">
        <v>19</v>
      </c>
    </row>
    <row r="36">
      <c r="B36" s="14">
        <v>27</v>
      </c>
      <c r="C36" s="23" t="s">
        <v>318</v>
      </c>
      <c r="D36" s="24">
        <v>0.547</v>
      </c>
      <c r="E36" s="15">
        <v>32586093384</v>
      </c>
      <c r="F36" s="15">
        <v>32586093384</v>
      </c>
      <c r="G36" s="14" t="s">
        <v>24</v>
      </c>
      <c r="H36" s="16">
        <v>0.00865141213110033</v>
      </c>
      <c r="I36" s="16">
        <v>0.0088640414356312616</v>
      </c>
      <c r="J36" s="14" t="s">
        <v>19</v>
      </c>
    </row>
    <row r="37">
      <c r="B37" s="14">
        <v>28</v>
      </c>
      <c r="C37" s="23" t="s">
        <v>319</v>
      </c>
      <c r="D37" s="24">
        <v>0.1498</v>
      </c>
      <c r="E37" s="15">
        <v>296205000</v>
      </c>
      <c r="F37" s="15">
        <v>292110000</v>
      </c>
      <c r="G37" s="14" t="s">
        <v>20</v>
      </c>
      <c r="H37" s="16">
        <v>0.00034720588402030006</v>
      </c>
      <c r="I37" s="16">
        <v>0.00035082125052743774</v>
      </c>
      <c r="J37" s="14" t="s">
        <v>19</v>
      </c>
    </row>
    <row r="38">
      <c r="B38" s="14">
        <v>29</v>
      </c>
      <c r="C38" s="23" t="s">
        <v>320</v>
      </c>
      <c r="D38" s="24">
        <v>0.1536</v>
      </c>
      <c r="E38" s="15">
        <v>337020000</v>
      </c>
      <c r="F38" s="15">
        <v>314880000</v>
      </c>
      <c r="G38" s="14" t="s">
        <v>20</v>
      </c>
      <c r="H38" s="16">
        <v>0.0015447407458589902</v>
      </c>
      <c r="I38" s="16">
        <v>0.0014787330548403474</v>
      </c>
      <c r="J38" s="14" t="s">
        <v>24</v>
      </c>
    </row>
    <row r="39">
      <c r="B39" s="14">
        <v>30</v>
      </c>
      <c r="C39" s="23" t="s">
        <v>321</v>
      </c>
      <c r="D39" s="24">
        <v>0.0766</v>
      </c>
      <c r="E39" s="15">
        <v>185413902</v>
      </c>
      <c r="F39" s="15">
        <v>185413902</v>
      </c>
      <c r="G39" s="14" t="s">
        <v>24</v>
      </c>
      <c r="H39" s="16">
        <v>0.00088235780725731</v>
      </c>
      <c r="I39" s="16">
        <v>0.00090404387755371437</v>
      </c>
      <c r="J39" s="14" t="s">
        <v>24</v>
      </c>
    </row>
    <row r="40">
      <c r="B40" s="14">
        <v>31</v>
      </c>
      <c r="C40" s="23" t="s">
        <v>322</v>
      </c>
      <c r="D40" s="24">
        <v>0.3649</v>
      </c>
      <c r="E40" s="15">
        <v>714600000</v>
      </c>
      <c r="F40" s="15">
        <v>729800000</v>
      </c>
      <c r="G40" s="14" t="s">
        <v>19</v>
      </c>
      <c r="H40" s="16">
        <v>0.00042955926611967</v>
      </c>
      <c r="I40" s="16">
        <v>0.00044947828511199083</v>
      </c>
      <c r="J40" s="14" t="s">
        <v>24</v>
      </c>
    </row>
    <row r="41">
      <c r="B41" s="14">
        <v>32</v>
      </c>
      <c r="C41" s="23" t="s">
        <v>323</v>
      </c>
      <c r="D41" s="24">
        <v>0.1504</v>
      </c>
      <c r="E41" s="15">
        <v>120419121</v>
      </c>
      <c r="F41" s="15">
        <v>120419121</v>
      </c>
      <c r="G41" s="14" t="s">
        <v>24</v>
      </c>
      <c r="H41" s="16">
        <v>0.00115817854449562</v>
      </c>
      <c r="I41" s="16">
        <v>0.0011866435748031944</v>
      </c>
      <c r="J41" s="14" t="s">
        <v>24</v>
      </c>
    </row>
    <row r="42">
      <c r="B42" s="14">
        <v>33</v>
      </c>
      <c r="C42" s="23" t="s">
        <v>324</v>
      </c>
      <c r="D42" s="24">
        <v>0.0776</v>
      </c>
      <c r="E42" s="15">
        <v>734744658</v>
      </c>
      <c r="F42" s="15">
        <v>734744658</v>
      </c>
      <c r="G42" s="14" t="s">
        <v>24</v>
      </c>
      <c r="H42" s="16">
        <v>0.00231876010970905</v>
      </c>
      <c r="I42" s="16">
        <v>0.0023757492292783562</v>
      </c>
      <c r="J42" s="14" t="s">
        <v>19</v>
      </c>
    </row>
    <row r="43">
      <c r="B43" s="14">
        <v>34</v>
      </c>
      <c r="C43" s="23" t="s">
        <v>325</v>
      </c>
      <c r="D43" s="24">
        <v>0.303</v>
      </c>
      <c r="E43" s="15">
        <v>1250412500</v>
      </c>
      <c r="F43" s="15">
        <v>1265025000</v>
      </c>
      <c r="G43" s="14" t="s">
        <v>19</v>
      </c>
      <c r="H43" s="16">
        <v>0.00075164606191836</v>
      </c>
      <c r="I43" s="16">
        <v>0.0007791193034033929</v>
      </c>
      <c r="J43" s="14" t="s">
        <v>24</v>
      </c>
    </row>
    <row r="44">
      <c r="B44" s="14">
        <v>35</v>
      </c>
      <c r="C44" s="23" t="s">
        <v>326</v>
      </c>
      <c r="D44" s="24">
        <v>0.304</v>
      </c>
      <c r="E44" s="15">
        <v>564569192</v>
      </c>
      <c r="F44" s="15">
        <v>564569192</v>
      </c>
      <c r="G44" s="14" t="s">
        <v>24</v>
      </c>
      <c r="H44" s="16">
        <v>0.00024038919048057002</v>
      </c>
      <c r="I44" s="16">
        <v>0.00024629733421272832</v>
      </c>
      <c r="J44" s="14" t="s">
        <v>24</v>
      </c>
    </row>
    <row r="45">
      <c r="B45" s="14">
        <v>36</v>
      </c>
      <c r="C45" s="23" t="s">
        <v>327</v>
      </c>
      <c r="D45" s="24">
        <v>0.3239</v>
      </c>
      <c r="E45" s="15">
        <v>3439648859</v>
      </c>
      <c r="F45" s="15">
        <v>3433288953</v>
      </c>
      <c r="G45" s="14" t="s">
        <v>20</v>
      </c>
      <c r="H45" s="16">
        <v>0.023260910572754902</v>
      </c>
      <c r="I45" s="16">
        <v>0.023788537064010264</v>
      </c>
      <c r="J45" s="14" t="s">
        <v>19</v>
      </c>
    </row>
    <row r="46">
      <c r="B46" s="14">
        <v>37</v>
      </c>
      <c r="C46" s="23" t="s">
        <v>328</v>
      </c>
      <c r="D46" s="24">
        <v>0.3069</v>
      </c>
      <c r="E46" s="15">
        <v>521822621</v>
      </c>
      <c r="F46" s="15">
        <v>663685712</v>
      </c>
      <c r="G46" s="14" t="s">
        <v>19</v>
      </c>
      <c r="H46" s="16">
        <v>0.00015161065681315</v>
      </c>
      <c r="I46" s="16">
        <v>0.00019756684825623515</v>
      </c>
      <c r="J46" s="14" t="s">
        <v>24</v>
      </c>
    </row>
    <row r="47" s="7" customFormat="1">
      <c r="B47" s="14">
        <v>38</v>
      </c>
      <c r="C47" s="23" t="s">
        <v>329</v>
      </c>
      <c r="D47" s="24">
        <v>0.0751</v>
      </c>
      <c r="E47" s="15">
        <v>203418864</v>
      </c>
      <c r="F47" s="15">
        <v>203418864</v>
      </c>
      <c r="G47" s="14" t="s">
        <v>24</v>
      </c>
      <c r="H47" s="16">
        <v>0.00238443734918467</v>
      </c>
      <c r="I47" s="16">
        <v>0.0024430406439132791</v>
      </c>
      <c r="J47" s="14" t="s">
        <v>24</v>
      </c>
      <c r="K47" s="6"/>
      <c r="L47" s="6"/>
      <c r="M47" s="6"/>
      <c r="N47" s="6"/>
      <c r="O47" s="6"/>
      <c r="P47" s="6"/>
      <c r="Q47" s="6"/>
    </row>
    <row r="48" s="7" customFormat="1">
      <c r="B48" s="14">
        <v>39</v>
      </c>
      <c r="C48" s="23" t="s">
        <v>330</v>
      </c>
      <c r="D48" s="24">
        <v>0.1371</v>
      </c>
      <c r="E48" s="15">
        <v>748021772</v>
      </c>
      <c r="F48" s="15">
        <v>497592358</v>
      </c>
      <c r="G48" s="14" t="s">
        <v>20</v>
      </c>
      <c r="H48" s="16">
        <v>0.024356026008047</v>
      </c>
      <c r="I48" s="16">
        <v>0.016600098631915281</v>
      </c>
      <c r="J48" s="14" t="s">
        <v>20</v>
      </c>
      <c r="L48" s="6"/>
      <c r="Q48" s="6"/>
    </row>
    <row r="49">
      <c r="B49" s="14">
        <v>40</v>
      </c>
      <c r="C49" s="23" t="s">
        <v>331</v>
      </c>
      <c r="D49" s="24">
        <v>0.0857</v>
      </c>
      <c r="E49" s="15">
        <v>411360000</v>
      </c>
      <c r="F49" s="15">
        <v>411360000</v>
      </c>
      <c r="G49" s="14" t="s">
        <v>24</v>
      </c>
      <c r="H49" s="16">
        <v>0.0017206295160308099</v>
      </c>
      <c r="I49" s="16">
        <v>0.0017629181333774463</v>
      </c>
      <c r="J49" s="14" t="s">
        <v>19</v>
      </c>
      <c r="K49" s="7"/>
      <c r="M49" s="7"/>
      <c r="N49" s="7"/>
      <c r="O49" s="7"/>
      <c r="P49" s="7"/>
    </row>
    <row r="50">
      <c r="B50" s="14">
        <v>41</v>
      </c>
      <c r="C50" s="23" t="s">
        <v>332</v>
      </c>
      <c r="D50" s="24">
        <v>0.2308</v>
      </c>
      <c r="E50" s="15">
        <v>150020000</v>
      </c>
      <c r="F50" s="15">
        <v>150020000</v>
      </c>
      <c r="G50" s="14" t="s">
        <v>24</v>
      </c>
      <c r="H50" s="16">
        <v>0.00017134160942656</v>
      </c>
      <c r="I50" s="16">
        <v>0.00017555274243868409</v>
      </c>
      <c r="J50" s="14" t="s">
        <v>24</v>
      </c>
    </row>
    <row r="51">
      <c r="B51" s="14">
        <v>42</v>
      </c>
      <c r="C51" s="23" t="s">
        <v>333</v>
      </c>
      <c r="D51" s="24">
        <v>0.2108</v>
      </c>
      <c r="E51" s="15">
        <v>1879990134</v>
      </c>
      <c r="F51" s="15">
        <v>1879990134</v>
      </c>
      <c r="G51" s="14" t="s">
        <v>24</v>
      </c>
      <c r="H51" s="16">
        <v>0.00446388240971084</v>
      </c>
      <c r="I51" s="16">
        <v>0.0045735930788766629</v>
      </c>
      <c r="J51" s="14" t="s">
        <v>19</v>
      </c>
    </row>
    <row r="52">
      <c r="B52" s="14">
        <v>43</v>
      </c>
      <c r="C52" s="23" t="s">
        <v>334</v>
      </c>
      <c r="D52" s="24">
        <v>0.1707</v>
      </c>
      <c r="E52" s="15">
        <v>328441822</v>
      </c>
      <c r="F52" s="15">
        <v>328441822</v>
      </c>
      <c r="G52" s="14" t="s">
        <v>24</v>
      </c>
      <c r="H52" s="16">
        <v>0.023650762114079803</v>
      </c>
      <c r="I52" s="16">
        <v>0.024232036565611639</v>
      </c>
      <c r="J52" s="14" t="s">
        <v>19</v>
      </c>
    </row>
    <row r="53">
      <c r="B53" s="14">
        <v>44</v>
      </c>
      <c r="C53" s="23" t="s">
        <v>335</v>
      </c>
      <c r="D53" s="24">
        <v>0.2358</v>
      </c>
      <c r="E53" s="15">
        <v>864207179</v>
      </c>
      <c r="F53" s="15">
        <v>864207179</v>
      </c>
      <c r="G53" s="14" t="s">
        <v>24</v>
      </c>
      <c r="H53" s="16">
        <v>0.00021645454425936998</v>
      </c>
      <c r="I53" s="16">
        <v>0.00022177443636721005</v>
      </c>
      <c r="J53" s="14" t="s">
        <v>24</v>
      </c>
    </row>
    <row r="54">
      <c r="B54" s="14">
        <v>45</v>
      </c>
      <c r="C54" s="23" t="s">
        <v>336</v>
      </c>
      <c r="D54" s="24">
        <v>0.2348</v>
      </c>
      <c r="E54" s="15">
        <v>7017980857</v>
      </c>
      <c r="F54" s="15">
        <v>8663627262</v>
      </c>
      <c r="G54" s="14" t="s">
        <v>19</v>
      </c>
      <c r="H54" s="16">
        <v>0.0120934289003374</v>
      </c>
      <c r="I54" s="16">
        <v>0.015296138663522059</v>
      </c>
      <c r="J54" s="14" t="s">
        <v>19</v>
      </c>
    </row>
    <row r="55">
      <c r="B55" s="14">
        <v>46</v>
      </c>
      <c r="C55" s="23" t="s">
        <v>337</v>
      </c>
      <c r="D55" s="24">
        <v>0.3998</v>
      </c>
      <c r="E55" s="15">
        <v>239654164</v>
      </c>
      <c r="F55" s="15">
        <v>427930928</v>
      </c>
      <c r="G55" s="14" t="s">
        <v>19</v>
      </c>
      <c r="H55" s="16">
        <v>0.00032653723962612</v>
      </c>
      <c r="I55" s="16">
        <v>0.00059740133561056409</v>
      </c>
      <c r="J55" s="14" t="s">
        <v>19</v>
      </c>
    </row>
    <row r="56">
      <c r="B56" s="14">
        <v>47</v>
      </c>
      <c r="C56" s="23" t="s">
        <v>338</v>
      </c>
      <c r="D56" s="24">
        <v>0.2</v>
      </c>
      <c r="E56" s="15">
        <v>500000000</v>
      </c>
      <c r="F56" s="15">
        <v>500000000</v>
      </c>
      <c r="G56" s="14" t="s">
        <v>24</v>
      </c>
      <c r="H56" s="16">
        <v>0.00053599731172222992</v>
      </c>
      <c r="I56" s="16">
        <v>0.00054917073749638045</v>
      </c>
      <c r="J56" s="14" t="s">
        <v>24</v>
      </c>
    </row>
    <row r="57">
      <c r="B57" s="14">
        <v>48</v>
      </c>
      <c r="C57" s="23" t="s">
        <v>339</v>
      </c>
      <c r="D57" s="24">
        <v>0.3144</v>
      </c>
      <c r="E57" s="15">
        <v>1886400000</v>
      </c>
      <c r="F57" s="15">
        <v>1886400000</v>
      </c>
      <c r="G57" s="14" t="s">
        <v>24</v>
      </c>
      <c r="H57" s="16">
        <v>0.00159697944460509</v>
      </c>
      <c r="I57" s="16">
        <v>0.0016362290634301504</v>
      </c>
      <c r="J57" s="14" t="s">
        <v>24</v>
      </c>
    </row>
    <row r="58">
      <c r="B58" s="14">
        <v>49</v>
      </c>
      <c r="C58" s="23" t="s">
        <v>340</v>
      </c>
      <c r="D58" s="24">
        <v>0.1063</v>
      </c>
      <c r="E58" s="15">
        <v>444720294</v>
      </c>
      <c r="F58" s="15">
        <v>444720294</v>
      </c>
      <c r="G58" s="14" t="s">
        <v>24</v>
      </c>
      <c r="H58" s="16">
        <v>0.00085991017263733994</v>
      </c>
      <c r="I58" s="16">
        <v>0.00088104453804609931</v>
      </c>
      <c r="J58" s="14" t="s">
        <v>24</v>
      </c>
    </row>
    <row r="59">
      <c r="B59" s="14">
        <v>50</v>
      </c>
      <c r="C59" s="23" t="s">
        <v>341</v>
      </c>
      <c r="D59" s="24">
        <v>0.075</v>
      </c>
      <c r="E59" s="15">
        <v>8723855768</v>
      </c>
      <c r="F59" s="15">
        <v>8723855768</v>
      </c>
      <c r="G59" s="14" t="s">
        <v>24</v>
      </c>
      <c r="H59" s="16">
        <v>0.0314644255368255</v>
      </c>
      <c r="I59" s="16">
        <v>0.032237739626803923</v>
      </c>
      <c r="J59" s="14" t="s">
        <v>19</v>
      </c>
    </row>
    <row r="60">
      <c r="B60" s="14">
        <v>51</v>
      </c>
      <c r="C60" s="23" t="s">
        <v>342</v>
      </c>
      <c r="D60" s="24">
        <v>0.5947</v>
      </c>
      <c r="E60" s="15">
        <v>5967302302</v>
      </c>
      <c r="F60" s="15">
        <v>5755359519</v>
      </c>
      <c r="G60" s="14" t="s">
        <v>20</v>
      </c>
      <c r="H60" s="16">
        <v>0.0019728806306447398</v>
      </c>
      <c r="I60" s="16">
        <v>0.0019495752530710733</v>
      </c>
      <c r="J60" s="14" t="s">
        <v>20</v>
      </c>
    </row>
    <row r="61">
      <c r="B61" s="14">
        <v>52</v>
      </c>
      <c r="C61" s="23" t="s">
        <v>343</v>
      </c>
      <c r="D61" s="24">
        <v>0.1947</v>
      </c>
      <c r="E61" s="15">
        <v>2270573488</v>
      </c>
      <c r="F61" s="15">
        <v>2270573488</v>
      </c>
      <c r="G61" s="14" t="s">
        <v>24</v>
      </c>
      <c r="H61" s="16">
        <v>0.0804712672511497</v>
      </c>
      <c r="I61" s="16">
        <v>0.082449042577846</v>
      </c>
      <c r="J61" s="14" t="s">
        <v>19</v>
      </c>
    </row>
    <row r="62">
      <c r="B62" s="14">
        <v>53</v>
      </c>
      <c r="C62" s="23" t="s">
        <v>344</v>
      </c>
      <c r="D62" s="24">
        <v>0.484</v>
      </c>
      <c r="E62" s="15">
        <v>403333172</v>
      </c>
      <c r="F62" s="15">
        <v>403333172</v>
      </c>
      <c r="G62" s="14" t="s">
        <v>24</v>
      </c>
      <c r="H62" s="16">
        <v>0.00016163401564142</v>
      </c>
      <c r="I62" s="16">
        <v>0.00016560656113943513</v>
      </c>
      <c r="J62" s="14" t="s">
        <v>24</v>
      </c>
    </row>
    <row r="63">
      <c r="B63" s="14">
        <v>54</v>
      </c>
      <c r="C63" s="23" t="s">
        <v>345</v>
      </c>
      <c r="D63" s="24">
        <v>0.4824</v>
      </c>
      <c r="E63" s="15">
        <v>2984191631</v>
      </c>
      <c r="F63" s="15">
        <v>2934816754</v>
      </c>
      <c r="G63" s="14" t="s">
        <v>20</v>
      </c>
      <c r="H63" s="16">
        <v>0.0893189176073162</v>
      </c>
      <c r="I63" s="16">
        <v>0.09</v>
      </c>
      <c r="J63" s="14" t="s">
        <v>19</v>
      </c>
    </row>
    <row r="64">
      <c r="B64" s="14">
        <v>55</v>
      </c>
      <c r="C64" s="23" t="s">
        <v>346</v>
      </c>
      <c r="D64" s="24">
        <v>0.5338</v>
      </c>
      <c r="E64" s="15">
        <v>2455480000</v>
      </c>
      <c r="F64" s="15">
        <v>2455480000</v>
      </c>
      <c r="G64" s="14" t="s">
        <v>24</v>
      </c>
      <c r="H64" s="16">
        <v>0.00017220401407316</v>
      </c>
      <c r="I64" s="16">
        <v>0.00017643634275800533</v>
      </c>
      <c r="J64" s="14" t="s">
        <v>24</v>
      </c>
    </row>
    <row r="65">
      <c r="B65" s="14">
        <v>56</v>
      </c>
      <c r="C65" s="23" t="s">
        <v>347</v>
      </c>
      <c r="D65" s="24">
        <v>0.2086</v>
      </c>
      <c r="E65" s="15">
        <v>289956789</v>
      </c>
      <c r="F65" s="15">
        <v>289956789</v>
      </c>
      <c r="G65" s="14" t="s">
        <v>24</v>
      </c>
      <c r="H65" s="16">
        <v>0.00010893649024739001</v>
      </c>
      <c r="I65" s="16">
        <v>0.00011161386704251915</v>
      </c>
      <c r="J65" s="14" t="s">
        <v>24</v>
      </c>
    </row>
    <row r="66">
      <c r="B66" s="14">
        <v>57</v>
      </c>
      <c r="C66" s="23" t="s">
        <v>348</v>
      </c>
      <c r="D66" s="24">
        <v>0.2463</v>
      </c>
      <c r="E66" s="15">
        <v>232169696</v>
      </c>
      <c r="F66" s="15">
        <v>231699336</v>
      </c>
      <c r="G66" s="14" t="s">
        <v>20</v>
      </c>
      <c r="H66" s="16">
        <v>0.00030238323886949003</v>
      </c>
      <c r="I66" s="16">
        <v>0.00030918737158337225</v>
      </c>
      <c r="J66" s="14" t="s">
        <v>24</v>
      </c>
    </row>
    <row r="67">
      <c r="B67" s="14">
        <v>58</v>
      </c>
      <c r="C67" s="23" t="s">
        <v>349</v>
      </c>
      <c r="D67" s="24">
        <v>0.1167</v>
      </c>
      <c r="E67" s="15">
        <v>1077218611</v>
      </c>
      <c r="F67" s="15">
        <v>1077218611</v>
      </c>
      <c r="G67" s="14" t="s">
        <v>24</v>
      </c>
      <c r="H67" s="16">
        <v>0.00955115621449234</v>
      </c>
      <c r="I67" s="16">
        <v>0.0097858989013089124</v>
      </c>
      <c r="J67" s="14" t="s">
        <v>19</v>
      </c>
    </row>
    <row r="68">
      <c r="B68" s="14">
        <v>59</v>
      </c>
      <c r="C68" s="23" t="s">
        <v>350</v>
      </c>
      <c r="D68" s="24">
        <v>0.075</v>
      </c>
      <c r="E68" s="15">
        <v>1217471388</v>
      </c>
      <c r="F68" s="15">
        <v>1217471388</v>
      </c>
      <c r="G68" s="14" t="s">
        <v>24</v>
      </c>
      <c r="H68" s="16">
        <v>0.0008538186425172201</v>
      </c>
      <c r="I68" s="16">
        <v>0.00087480329360327912</v>
      </c>
      <c r="J68" s="14" t="s">
        <v>24</v>
      </c>
    </row>
    <row r="69">
      <c r="B69" s="14">
        <v>60</v>
      </c>
      <c r="C69" s="23" t="s">
        <v>351</v>
      </c>
      <c r="D69" s="24">
        <v>0.4103</v>
      </c>
      <c r="E69" s="15">
        <v>4810241147</v>
      </c>
      <c r="F69" s="15">
        <v>4811413805</v>
      </c>
      <c r="G69" s="14" t="s">
        <v>19</v>
      </c>
      <c r="H69" s="16">
        <v>0.052770328490893005</v>
      </c>
      <c r="I69" s="16">
        <v>0.054080467216916027</v>
      </c>
      <c r="J69" s="14" t="s">
        <v>19</v>
      </c>
    </row>
    <row r="70">
      <c r="B70" s="14">
        <v>61</v>
      </c>
      <c r="C70" s="23" t="s">
        <v>352</v>
      </c>
      <c r="D70" s="24">
        <v>0.1022</v>
      </c>
      <c r="E70" s="15">
        <v>581625000</v>
      </c>
      <c r="F70" s="15">
        <v>574875000</v>
      </c>
      <c r="G70" s="14" t="s">
        <v>20</v>
      </c>
      <c r="H70" s="16">
        <v>0.0015587471821522</v>
      </c>
      <c r="I70" s="16">
        <v>0.0015785226383105324</v>
      </c>
      <c r="J70" s="14" t="s">
        <v>24</v>
      </c>
    </row>
    <row r="71">
      <c r="B71" s="14">
        <v>62</v>
      </c>
      <c r="C71" s="23" t="s">
        <v>353</v>
      </c>
      <c r="D71" s="24">
        <v>0.0998</v>
      </c>
      <c r="E71" s="15">
        <v>110714291</v>
      </c>
      <c r="F71" s="15">
        <v>142571436</v>
      </c>
      <c r="G71" s="14" t="s">
        <v>19</v>
      </c>
      <c r="H71" s="16">
        <v>0.00059897165731637007</v>
      </c>
      <c r="I71" s="16">
        <v>0.00079027799372364236</v>
      </c>
      <c r="J71" s="14" t="s">
        <v>19</v>
      </c>
    </row>
    <row r="72">
      <c r="B72" s="14">
        <v>63</v>
      </c>
      <c r="C72" s="23" t="s">
        <v>354</v>
      </c>
      <c r="D72" s="24">
        <v>0.1632</v>
      </c>
      <c r="E72" s="15">
        <v>147840000</v>
      </c>
      <c r="F72" s="15">
        <v>130560000</v>
      </c>
      <c r="G72" s="14" t="s">
        <v>20</v>
      </c>
      <c r="H72" s="16">
        <v>0.0004443467807384</v>
      </c>
      <c r="I72" s="16">
        <v>0.00040205456908893889</v>
      </c>
      <c r="J72" s="14" t="s">
        <v>24</v>
      </c>
    </row>
    <row r="73">
      <c r="B73" s="14">
        <v>64</v>
      </c>
      <c r="C73" s="23" t="s">
        <v>355</v>
      </c>
      <c r="D73" s="24">
        <v>0.49</v>
      </c>
      <c r="E73" s="15">
        <v>1943511568</v>
      </c>
      <c r="F73" s="15">
        <v>1943511568</v>
      </c>
      <c r="G73" s="14" t="s">
        <v>24</v>
      </c>
      <c r="H73" s="16">
        <v>0.0007496467956325</v>
      </c>
      <c r="I73" s="16">
        <v>0.00076807117244637472</v>
      </c>
      <c r="J73" s="14" t="s">
        <v>19</v>
      </c>
    </row>
    <row r="74">
      <c r="B74" s="14">
        <v>65</v>
      </c>
      <c r="C74" s="23" t="s">
        <v>356</v>
      </c>
      <c r="D74" s="24">
        <v>0.4026</v>
      </c>
      <c r="E74" s="15">
        <v>2745717492</v>
      </c>
      <c r="F74" s="15">
        <v>2745717492</v>
      </c>
      <c r="G74" s="14" t="s">
        <v>24</v>
      </c>
      <c r="H74" s="16">
        <v>0.0177428914098533</v>
      </c>
      <c r="I74" s="16">
        <v>0.018178965731480184</v>
      </c>
      <c r="J74" s="14" t="s">
        <v>19</v>
      </c>
    </row>
    <row r="75">
      <c r="B75" s="14">
        <v>66</v>
      </c>
      <c r="C75" s="23" t="s">
        <v>357</v>
      </c>
      <c r="D75" s="24">
        <v>0.0275</v>
      </c>
      <c r="E75" s="15">
        <v>247500000</v>
      </c>
      <c r="F75" s="15">
        <v>247500000</v>
      </c>
      <c r="G75" s="14" t="s">
        <v>24</v>
      </c>
      <c r="H75" s="16">
        <v>6.199034329498E-05</v>
      </c>
      <c r="I75" s="16">
        <v>6.3513905416244366E-05</v>
      </c>
      <c r="J75" s="14" t="s">
        <v>24</v>
      </c>
    </row>
    <row r="76">
      <c r="B76" s="14">
        <v>67</v>
      </c>
      <c r="C76" s="23" t="s">
        <v>358</v>
      </c>
      <c r="D76" s="24">
        <v>0.2498</v>
      </c>
      <c r="E76" s="15">
        <v>895723875</v>
      </c>
      <c r="F76" s="15">
        <v>559239750</v>
      </c>
      <c r="G76" s="14" t="s">
        <v>20</v>
      </c>
      <c r="H76" s="16">
        <v>0.00367931385997423</v>
      </c>
      <c r="I76" s="16">
        <v>0.0023536153913526073</v>
      </c>
      <c r="J76" s="14" t="s">
        <v>20</v>
      </c>
    </row>
    <row r="77" s="7" customFormat="1">
      <c r="B77" s="14">
        <v>68</v>
      </c>
      <c r="C77" s="23" t="s">
        <v>359</v>
      </c>
      <c r="D77" s="24">
        <v>0.2083</v>
      </c>
      <c r="E77" s="15">
        <v>1938357166</v>
      </c>
      <c r="F77" s="15">
        <v>2001783826</v>
      </c>
      <c r="G77" s="14" t="s">
        <v>19</v>
      </c>
      <c r="H77" s="16">
        <v>0.00048549263090351</v>
      </c>
      <c r="I77" s="16">
        <v>0.00051370144862428787</v>
      </c>
      <c r="J77" s="14" t="s">
        <v>24</v>
      </c>
      <c r="K77" s="6"/>
      <c r="L77" s="6"/>
      <c r="M77" s="6"/>
      <c r="N77" s="6"/>
      <c r="O77" s="6"/>
      <c r="P77" s="6"/>
      <c r="Q77" s="6"/>
    </row>
    <row r="78" s="7" customFormat="1">
      <c r="B78" s="14">
        <v>69</v>
      </c>
      <c r="C78" s="23" t="s">
        <v>360</v>
      </c>
      <c r="D78" s="24">
        <v>0.3067</v>
      </c>
      <c r="E78" s="15">
        <v>328169000</v>
      </c>
      <c r="F78" s="15">
        <v>328169000</v>
      </c>
      <c r="G78" s="14" t="s">
        <v>24</v>
      </c>
      <c r="H78" s="16">
        <v>0.00018576112432088</v>
      </c>
      <c r="I78" s="16">
        <v>0.00019032665166485808</v>
      </c>
      <c r="J78" s="14" t="s">
        <v>24</v>
      </c>
      <c r="L78" s="6"/>
      <c r="Q78" s="6"/>
    </row>
    <row r="79">
      <c r="B79" s="14">
        <v>70</v>
      </c>
      <c r="C79" s="23" t="s">
        <v>361</v>
      </c>
      <c r="D79" s="24">
        <v>0.1243</v>
      </c>
      <c r="E79" s="15">
        <v>441106711</v>
      </c>
      <c r="F79" s="15">
        <v>441817601</v>
      </c>
      <c r="G79" s="14" t="s">
        <v>19</v>
      </c>
      <c r="H79" s="16">
        <v>0.0015357032508285101</v>
      </c>
      <c r="I79" s="16">
        <v>0.0015759826333655678</v>
      </c>
      <c r="J79" s="14" t="s">
        <v>19</v>
      </c>
      <c r="K79" s="7"/>
      <c r="M79" s="7"/>
      <c r="N79" s="7"/>
      <c r="O79" s="7"/>
      <c r="P79" s="7"/>
    </row>
    <row r="80">
      <c r="B80" s="14">
        <v>71</v>
      </c>
      <c r="C80" s="23" t="s">
        <v>362</v>
      </c>
      <c r="D80" s="24">
        <v>0.1426</v>
      </c>
      <c r="E80" s="15">
        <v>4911644806</v>
      </c>
      <c r="F80" s="15">
        <v>4767873038</v>
      </c>
      <c r="G80" s="14" t="s">
        <v>20</v>
      </c>
      <c r="H80" s="16">
        <v>0.00644624900919081</v>
      </c>
      <c r="I80" s="16">
        <v>0.006411351443380996</v>
      </c>
      <c r="J80" s="14" t="s">
        <v>24</v>
      </c>
    </row>
    <row r="81">
      <c r="B81" s="14">
        <v>72</v>
      </c>
      <c r="C81" s="23" t="s">
        <v>363</v>
      </c>
      <c r="D81" s="24">
        <v>0.2337</v>
      </c>
      <c r="E81" s="15">
        <v>2817316117</v>
      </c>
      <c r="F81" s="15">
        <v>2818522160</v>
      </c>
      <c r="G81" s="14" t="s">
        <v>19</v>
      </c>
      <c r="H81" s="16">
        <v>0.0017641049824576</v>
      </c>
      <c r="I81" s="16">
        <v>0.0018082358566605889</v>
      </c>
      <c r="J81" s="14" t="s">
        <v>24</v>
      </c>
    </row>
    <row r="82">
      <c r="B82" s="14">
        <v>73</v>
      </c>
      <c r="C82" s="23" t="s">
        <v>364</v>
      </c>
      <c r="D82" s="24">
        <v>0.0957</v>
      </c>
      <c r="E82" s="15">
        <v>201639900</v>
      </c>
      <c r="F82" s="15">
        <v>201639900</v>
      </c>
      <c r="G82" s="14" t="s">
        <v>24</v>
      </c>
      <c r="H82" s="16">
        <v>0.00547967813572401</v>
      </c>
      <c r="I82" s="16">
        <v>0.0056143544328032986</v>
      </c>
      <c r="J82" s="14" t="s">
        <v>19</v>
      </c>
    </row>
    <row r="83">
      <c r="B83" s="14">
        <v>74</v>
      </c>
      <c r="C83" s="23" t="s">
        <v>365</v>
      </c>
      <c r="D83" s="24">
        <v>0.3938</v>
      </c>
      <c r="E83" s="15">
        <v>6175699186</v>
      </c>
      <c r="F83" s="15">
        <v>6175699186</v>
      </c>
      <c r="G83" s="14" t="s">
        <v>24</v>
      </c>
      <c r="H83" s="16">
        <v>0.00278424518273929</v>
      </c>
      <c r="I83" s="16">
        <v>0.0028526747186150576</v>
      </c>
      <c r="J83" s="14" t="s">
        <v>19</v>
      </c>
    </row>
    <row r="84">
      <c r="B84" s="14">
        <v>75</v>
      </c>
      <c r="C84" s="23" t="s">
        <v>366</v>
      </c>
      <c r="D84" s="24">
        <v>0.4099</v>
      </c>
      <c r="E84" s="15">
        <v>4740603615</v>
      </c>
      <c r="F84" s="15">
        <v>5315025770</v>
      </c>
      <c r="G84" s="14" t="s">
        <v>19</v>
      </c>
      <c r="H84" s="16">
        <v>0.00106862416552458</v>
      </c>
      <c r="I84" s="16">
        <v>0.0012275565233383977</v>
      </c>
      <c r="J84" s="14" t="s">
        <v>19</v>
      </c>
    </row>
    <row r="85">
      <c r="B85" s="14">
        <v>76</v>
      </c>
      <c r="C85" s="23" t="s">
        <v>367</v>
      </c>
      <c r="D85" s="24">
        <v>0.2807</v>
      </c>
      <c r="E85" s="15">
        <v>120139600</v>
      </c>
      <c r="F85" s="15">
        <v>120139600</v>
      </c>
      <c r="G85" s="14" t="s">
        <v>24</v>
      </c>
      <c r="H85" s="16">
        <v>0.00025155983270952</v>
      </c>
      <c r="I85" s="16">
        <v>0.00025774252189747124</v>
      </c>
      <c r="J85" s="14" t="s">
        <v>24</v>
      </c>
    </row>
    <row r="86">
      <c r="B86" s="14">
        <v>77</v>
      </c>
      <c r="C86" s="23" t="s">
        <v>368</v>
      </c>
      <c r="D86" s="24">
        <v>0.0764</v>
      </c>
      <c r="E86" s="15">
        <v>445882350</v>
      </c>
      <c r="F86" s="15">
        <v>449411762</v>
      </c>
      <c r="G86" s="14" t="s">
        <v>19</v>
      </c>
      <c r="H86" s="16">
        <v>0.00095596696377756</v>
      </c>
      <c r="I86" s="16">
        <v>0.0009872151541418107</v>
      </c>
      <c r="J86" s="14" t="s">
        <v>24</v>
      </c>
    </row>
    <row r="87">
      <c r="B87" s="14">
        <v>78</v>
      </c>
      <c r="C87" s="23" t="s">
        <v>369</v>
      </c>
      <c r="D87" s="24">
        <v>0.1455</v>
      </c>
      <c r="E87" s="15">
        <v>3331446259</v>
      </c>
      <c r="F87" s="15">
        <v>3253190810</v>
      </c>
      <c r="G87" s="14" t="s">
        <v>20</v>
      </c>
      <c r="H87" s="16">
        <v>0.0311236470624398</v>
      </c>
      <c r="I87" s="16">
        <v>0.031139524964196565</v>
      </c>
      <c r="J87" s="14" t="s">
        <v>24</v>
      </c>
    </row>
    <row r="88">
      <c r="B88" s="14">
        <v>79</v>
      </c>
      <c r="C88" s="23" t="s">
        <v>370</v>
      </c>
      <c r="D88" s="24">
        <v>0.2861</v>
      </c>
      <c r="E88" s="15">
        <v>230997140</v>
      </c>
      <c r="F88" s="15">
        <v>230997140</v>
      </c>
      <c r="G88" s="14" t="s">
        <v>24</v>
      </c>
      <c r="H88" s="16">
        <v>0.0001515851760119</v>
      </c>
      <c r="I88" s="16">
        <v>0.00015531074705672394</v>
      </c>
      <c r="J88" s="14" t="s">
        <v>24</v>
      </c>
    </row>
    <row r="89">
      <c r="B89" s="14">
        <v>80</v>
      </c>
      <c r="C89" s="23" t="s">
        <v>371</v>
      </c>
      <c r="D89" s="24">
        <v>0.1442</v>
      </c>
      <c r="E89" s="15">
        <v>612762500</v>
      </c>
      <c r="F89" s="15">
        <v>593022500</v>
      </c>
      <c r="G89" s="14" t="s">
        <v>20</v>
      </c>
      <c r="H89" s="16">
        <v>0.0010252209683166398</v>
      </c>
      <c r="I89" s="16">
        <v>0.0010165792675523402</v>
      </c>
      <c r="J89" s="14" t="s">
        <v>24</v>
      </c>
    </row>
    <row r="90">
      <c r="B90" s="14">
        <v>81</v>
      </c>
      <c r="C90" s="23" t="s">
        <v>372</v>
      </c>
      <c r="D90" s="24">
        <v>0.3102</v>
      </c>
      <c r="E90" s="15">
        <v>8292466516</v>
      </c>
      <c r="F90" s="15">
        <v>7383246594</v>
      </c>
      <c r="G90" s="14" t="s">
        <v>20</v>
      </c>
      <c r="H90" s="16">
        <v>0.0371779634141095</v>
      </c>
      <c r="I90" s="16">
        <v>0.033915171629781866</v>
      </c>
      <c r="J90" s="14" t="s">
        <v>20</v>
      </c>
    </row>
    <row r="91">
      <c r="B91" s="14">
        <v>82</v>
      </c>
      <c r="C91" s="23" t="s">
        <v>373</v>
      </c>
      <c r="D91" s="24">
        <v>0.3612</v>
      </c>
      <c r="E91" s="15">
        <v>165185778</v>
      </c>
      <c r="F91" s="15">
        <v>164005231</v>
      </c>
      <c r="G91" s="14" t="s">
        <v>20</v>
      </c>
      <c r="H91" s="16">
        <v>0.00020024738478639</v>
      </c>
      <c r="I91" s="16">
        <v>0.00020370264829000777</v>
      </c>
      <c r="J91" s="14" t="s">
        <v>24</v>
      </c>
    </row>
    <row r="92">
      <c r="B92" s="14">
        <v>83</v>
      </c>
      <c r="C92" s="23" t="s">
        <v>374</v>
      </c>
      <c r="D92" s="24">
        <v>0.6881</v>
      </c>
      <c r="E92" s="15">
        <v>802783356</v>
      </c>
      <c r="F92" s="15">
        <v>802783356</v>
      </c>
      <c r="G92" s="14" t="s">
        <v>24</v>
      </c>
      <c r="H92" s="16">
        <v>0.00015281317184141001</v>
      </c>
      <c r="I92" s="16">
        <v>0.00015656892389606905</v>
      </c>
      <c r="J92" s="14" t="s">
        <v>24</v>
      </c>
    </row>
    <row r="93">
      <c r="B93" s="14">
        <v>84</v>
      </c>
      <c r="C93" s="23" t="s">
        <v>375</v>
      </c>
      <c r="D93" s="24">
        <v>0.0757</v>
      </c>
      <c r="E93" s="15">
        <v>437224085</v>
      </c>
      <c r="F93" s="15">
        <v>434355160</v>
      </c>
      <c r="G93" s="14" t="s">
        <v>20</v>
      </c>
      <c r="H93" s="16">
        <v>0.016097938002098598</v>
      </c>
      <c r="I93" s="16">
        <v>0.016385358005554011</v>
      </c>
      <c r="J93" s="14" t="s">
        <v>19</v>
      </c>
    </row>
    <row r="94">
      <c r="B94" s="14">
        <v>85</v>
      </c>
      <c r="C94" s="23" t="s">
        <v>376</v>
      </c>
      <c r="D94" s="24">
        <v>0.3026</v>
      </c>
      <c r="E94" s="15">
        <v>783737240</v>
      </c>
      <c r="F94" s="15">
        <v>783219580</v>
      </c>
      <c r="G94" s="14" t="s">
        <v>20</v>
      </c>
      <c r="H94" s="16">
        <v>0.00019629955782084</v>
      </c>
      <c r="I94" s="16">
        <v>0.00020099124970570346</v>
      </c>
      <c r="J94" s="14" t="s">
        <v>24</v>
      </c>
    </row>
    <row r="95">
      <c r="B95" s="14">
        <v>86</v>
      </c>
      <c r="C95" s="23" t="s">
        <v>377</v>
      </c>
      <c r="D95" s="24">
        <v>0.1885</v>
      </c>
      <c r="E95" s="15">
        <v>148828125</v>
      </c>
      <c r="F95" s="15">
        <v>147265625</v>
      </c>
      <c r="G95" s="14" t="s">
        <v>20</v>
      </c>
      <c r="H95" s="16">
        <v>0.00225894924274055</v>
      </c>
      <c r="I95" s="16">
        <v>0.0022901694843366328</v>
      </c>
      <c r="J95" s="14" t="s">
        <v>24</v>
      </c>
    </row>
    <row r="96">
      <c r="B96" s="14">
        <v>87</v>
      </c>
      <c r="C96" s="23" t="s">
        <v>378</v>
      </c>
      <c r="D96" s="24">
        <v>0.0796</v>
      </c>
      <c r="E96" s="15">
        <v>114624000</v>
      </c>
      <c r="F96" s="15">
        <v>114624000</v>
      </c>
      <c r="G96" s="14" t="s">
        <v>24</v>
      </c>
      <c r="H96" s="16">
        <v>0.00010737322565986</v>
      </c>
      <c r="I96" s="16">
        <v>0.00011001218146696091</v>
      </c>
      <c r="J96" s="14" t="s">
        <v>24</v>
      </c>
    </row>
    <row r="97">
      <c r="B97" s="14">
        <v>88</v>
      </c>
      <c r="C97" s="23" t="s">
        <v>379</v>
      </c>
      <c r="D97" s="24">
        <v>0.131</v>
      </c>
      <c r="E97" s="15">
        <v>2163980000</v>
      </c>
      <c r="F97" s="15">
        <v>2469350000</v>
      </c>
      <c r="G97" s="14" t="s">
        <v>19</v>
      </c>
      <c r="H97" s="16">
        <v>0.00215717387907956</v>
      </c>
      <c r="I97" s="16">
        <v>0.0025220827791280443</v>
      </c>
      <c r="J97" s="14" t="s">
        <v>19</v>
      </c>
    </row>
    <row r="98">
      <c r="B98" s="14">
        <v>89</v>
      </c>
      <c r="C98" s="23" t="s">
        <v>380</v>
      </c>
      <c r="D98" s="24">
        <v>0.2076</v>
      </c>
      <c r="E98" s="15">
        <v>449976084</v>
      </c>
      <c r="F98" s="15">
        <v>449976084</v>
      </c>
      <c r="G98" s="14" t="s">
        <v>24</v>
      </c>
      <c r="H98" s="16">
        <v>0.00042602008025852996</v>
      </c>
      <c r="I98" s="16">
        <v>0.00043649055060931849</v>
      </c>
      <c r="J98" s="14" t="s">
        <v>24</v>
      </c>
    </row>
    <row r="99">
      <c r="B99" s="14">
        <v>90</v>
      </c>
      <c r="C99" s="23" t="s">
        <v>381</v>
      </c>
      <c r="D99" s="24">
        <v>0.117</v>
      </c>
      <c r="E99" s="15">
        <v>183045038</v>
      </c>
      <c r="F99" s="15">
        <v>183045038</v>
      </c>
      <c r="G99" s="14" t="s">
        <v>24</v>
      </c>
      <c r="H99" s="16">
        <v>0.00049514289792271</v>
      </c>
      <c r="I99" s="16">
        <v>0.00050731222662636361</v>
      </c>
      <c r="J99" s="14" t="s">
        <v>24</v>
      </c>
    </row>
    <row r="100">
      <c r="B100" s="14">
        <v>91</v>
      </c>
      <c r="C100" s="23" t="s">
        <v>382</v>
      </c>
      <c r="D100" s="24">
        <v>0.2004</v>
      </c>
      <c r="E100" s="15">
        <v>625000000</v>
      </c>
      <c r="F100" s="15">
        <v>626250000</v>
      </c>
      <c r="G100" s="14" t="s">
        <v>19</v>
      </c>
      <c r="H100" s="16">
        <v>0.016123750907532</v>
      </c>
      <c r="I100" s="16">
        <v>0.016553071008776708</v>
      </c>
      <c r="J100" s="14" t="s">
        <v>19</v>
      </c>
    </row>
    <row r="101">
      <c r="B101" s="14">
        <v>92</v>
      </c>
      <c r="C101" s="23" t="s">
        <v>383</v>
      </c>
      <c r="D101" s="24">
        <v>0.076</v>
      </c>
      <c r="E101" s="15">
        <v>470173155</v>
      </c>
      <c r="F101" s="15">
        <v>470173155</v>
      </c>
      <c r="G101" s="14" t="s">
        <v>24</v>
      </c>
      <c r="H101" s="16">
        <v>0.0017546598374518598</v>
      </c>
      <c r="I101" s="16">
        <v>0.0017977848338318436</v>
      </c>
      <c r="J101" s="14" t="s">
        <v>24</v>
      </c>
    </row>
    <row r="102">
      <c r="B102" s="14">
        <v>93</v>
      </c>
      <c r="C102" s="23" t="s">
        <v>384</v>
      </c>
      <c r="D102" s="24">
        <v>0.1653</v>
      </c>
      <c r="E102" s="15">
        <v>210592200</v>
      </c>
      <c r="F102" s="15">
        <v>210592200</v>
      </c>
      <c r="G102" s="14" t="s">
        <v>24</v>
      </c>
      <c r="H102" s="16">
        <v>0.00019832568576727002</v>
      </c>
      <c r="I102" s="16">
        <v>0.00020320001749137598</v>
      </c>
      <c r="J102" s="14" t="s">
        <v>24</v>
      </c>
    </row>
    <row r="103">
      <c r="B103" s="14">
        <v>94</v>
      </c>
      <c r="C103" s="23" t="s">
        <v>385</v>
      </c>
      <c r="D103" s="24">
        <v>0.3427</v>
      </c>
      <c r="E103" s="15">
        <v>622878035</v>
      </c>
      <c r="F103" s="15">
        <v>623241759</v>
      </c>
      <c r="G103" s="14" t="s">
        <v>19</v>
      </c>
      <c r="H103" s="16">
        <v>0.0177071112546769</v>
      </c>
      <c r="I103" s="16">
        <v>0.018152900238119253</v>
      </c>
      <c r="J103" s="14" t="s">
        <v>19</v>
      </c>
    </row>
    <row r="104">
      <c r="B104" s="14">
        <v>95</v>
      </c>
      <c r="C104" s="23" t="s">
        <v>386</v>
      </c>
      <c r="D104" s="24">
        <v>0.1295</v>
      </c>
      <c r="E104" s="15">
        <v>2808837372</v>
      </c>
      <c r="F104" s="15">
        <v>2007419645</v>
      </c>
      <c r="G104" s="14" t="s">
        <v>20</v>
      </c>
      <c r="H104" s="16">
        <v>0.00816081292210298</v>
      </c>
      <c r="I104" s="16">
        <v>0.0059757135851162234</v>
      </c>
      <c r="J104" s="14" t="s">
        <v>20</v>
      </c>
    </row>
    <row r="105">
      <c r="B105" s="14">
        <v>96</v>
      </c>
      <c r="C105" s="23" t="s">
        <v>387</v>
      </c>
      <c r="D105" s="24">
        <v>0.0907</v>
      </c>
      <c r="E105" s="15">
        <v>1839102056</v>
      </c>
      <c r="F105" s="15">
        <v>166806556</v>
      </c>
      <c r="G105" s="14" t="s">
        <v>20</v>
      </c>
      <c r="H105" s="16">
        <v>0.0081531969703640909</v>
      </c>
      <c r="I105" s="16">
        <v>0.00075766983628232538</v>
      </c>
      <c r="J105" s="14" t="s">
        <v>20</v>
      </c>
    </row>
    <row r="106">
      <c r="B106" s="14">
        <v>97</v>
      </c>
      <c r="C106" s="23" t="s">
        <v>388</v>
      </c>
      <c r="D106" s="24">
        <v>0.1415</v>
      </c>
      <c r="E106" s="15">
        <v>207785396</v>
      </c>
      <c r="F106" s="15">
        <v>244809605</v>
      </c>
      <c r="G106" s="14" t="s">
        <v>19</v>
      </c>
      <c r="H106" s="16">
        <v>0.00072340025702282</v>
      </c>
      <c r="I106" s="16">
        <v>0.00087324652942660753</v>
      </c>
      <c r="J106" s="14" t="s">
        <v>19</v>
      </c>
    </row>
    <row r="107">
      <c r="B107" s="14">
        <v>98</v>
      </c>
      <c r="C107" s="23" t="s">
        <v>389</v>
      </c>
      <c r="D107" s="24">
        <v>0.0929</v>
      </c>
      <c r="E107" s="15">
        <v>639625703</v>
      </c>
      <c r="F107" s="15">
        <v>641697925</v>
      </c>
      <c r="G107" s="14" t="s">
        <v>19</v>
      </c>
      <c r="H107" s="16">
        <v>0.00076257348075993</v>
      </c>
      <c r="I107" s="16">
        <v>0.00078384682189270726</v>
      </c>
      <c r="J107" s="14" t="s">
        <v>24</v>
      </c>
    </row>
    <row r="108">
      <c r="B108" s="14">
        <v>99</v>
      </c>
      <c r="C108" s="23" t="s">
        <v>390</v>
      </c>
      <c r="D108" s="24">
        <v>0.0754</v>
      </c>
      <c r="E108" s="15">
        <v>216850599</v>
      </c>
      <c r="F108" s="15">
        <v>216563380</v>
      </c>
      <c r="G108" s="14" t="s">
        <v>20</v>
      </c>
      <c r="H108" s="16">
        <v>0.00532274352089569</v>
      </c>
      <c r="I108" s="16">
        <v>0.0054463395129695225</v>
      </c>
      <c r="J108" s="14" t="s">
        <v>19</v>
      </c>
    </row>
    <row r="109">
      <c r="B109" s="14">
        <v>100</v>
      </c>
      <c r="C109" s="23" t="s">
        <v>391</v>
      </c>
      <c r="D109" s="24">
        <v>0.2275</v>
      </c>
      <c r="E109" s="15">
        <v>2192655000</v>
      </c>
      <c r="F109" s="15">
        <v>2166937500</v>
      </c>
      <c r="G109" s="14" t="s">
        <v>20</v>
      </c>
      <c r="H109" s="16">
        <v>0.014114069938426</v>
      </c>
      <c r="I109" s="16">
        <v>0.014291345649568956</v>
      </c>
      <c r="J109" s="14" t="s">
        <v>19</v>
      </c>
    </row>
    <row r="110">
      <c r="B110" s="14">
        <v>101</v>
      </c>
      <c r="C110" s="23" t="s">
        <v>392</v>
      </c>
      <c r="D110" s="24">
        <v>0.2811</v>
      </c>
      <c r="E110" s="15">
        <v>3066028375</v>
      </c>
      <c r="F110" s="15">
        <v>3064938038</v>
      </c>
      <c r="G110" s="14" t="s">
        <v>20</v>
      </c>
      <c r="H110" s="16">
        <v>0.0185072567741141</v>
      </c>
      <c r="I110" s="16">
        <v>0.018955373930578546</v>
      </c>
      <c r="J110" s="14" t="s">
        <v>19</v>
      </c>
    </row>
    <row r="111">
      <c r="B111" s="14">
        <v>102</v>
      </c>
      <c r="C111" s="23" t="s">
        <v>393</v>
      </c>
      <c r="D111" s="24">
        <v>0.2214</v>
      </c>
      <c r="E111" s="15">
        <v>2369525659</v>
      </c>
      <c r="F111" s="15">
        <v>2373814393</v>
      </c>
      <c r="G111" s="14" t="s">
        <v>19</v>
      </c>
      <c r="H111" s="16">
        <v>0.0012581896694183999</v>
      </c>
      <c r="I111" s="16">
        <v>0.0012914459487708243</v>
      </c>
      <c r="J111" s="14" t="s">
        <v>24</v>
      </c>
    </row>
    <row r="112">
      <c r="B112" s="14">
        <v>103</v>
      </c>
      <c r="C112" s="23" t="s">
        <v>394</v>
      </c>
      <c r="D112" s="24">
        <v>0.2011</v>
      </c>
      <c r="E112" s="15">
        <v>524000000</v>
      </c>
      <c r="F112" s="15">
        <v>263441000</v>
      </c>
      <c r="G112" s="14" t="s">
        <v>20</v>
      </c>
      <c r="H112" s="16">
        <v>0.025330130901444998</v>
      </c>
      <c r="I112" s="16">
        <v>0.013047709828766029</v>
      </c>
      <c r="J112" s="14" t="s">
        <v>20</v>
      </c>
    </row>
    <row r="113">
      <c r="B113" s="14">
        <v>104</v>
      </c>
      <c r="C113" s="23" t="s">
        <v>395</v>
      </c>
      <c r="D113" s="24">
        <v>0.1222</v>
      </c>
      <c r="E113" s="15">
        <v>2441862420</v>
      </c>
      <c r="F113" s="15">
        <v>2425980388</v>
      </c>
      <c r="G113" s="14" t="s">
        <v>20</v>
      </c>
      <c r="H113" s="16">
        <v>0.0213449654559683</v>
      </c>
      <c r="I113" s="16">
        <v>0.021727328324839746</v>
      </c>
      <c r="J113" s="14" t="s">
        <v>19</v>
      </c>
    </row>
    <row r="114">
      <c r="B114" s="14">
        <v>105</v>
      </c>
      <c r="C114" s="23" t="s">
        <v>396</v>
      </c>
      <c r="D114" s="24">
        <v>0.4689</v>
      </c>
      <c r="E114" s="15">
        <v>323082480</v>
      </c>
      <c r="F114" s="15">
        <v>515283588</v>
      </c>
      <c r="G114" s="14" t="s">
        <v>19</v>
      </c>
      <c r="H114" s="16">
        <v>8.739488224491E-05</v>
      </c>
      <c r="I114" s="16">
        <v>0.00014281166424536467</v>
      </c>
      <c r="J114" s="14" t="s">
        <v>24</v>
      </c>
    </row>
    <row r="115">
      <c r="B115" s="14">
        <v>106</v>
      </c>
      <c r="C115" s="23" t="s">
        <v>397</v>
      </c>
      <c r="D115" s="24">
        <v>0.4003</v>
      </c>
      <c r="E115" s="15">
        <v>2411956961</v>
      </c>
      <c r="F115" s="15">
        <v>2411956961</v>
      </c>
      <c r="G115" s="14" t="s">
        <v>24</v>
      </c>
      <c r="H115" s="16">
        <v>0.0075514161628838505</v>
      </c>
      <c r="I115" s="16">
        <v>0.0077370104145936614</v>
      </c>
      <c r="J115" s="14" t="s">
        <v>19</v>
      </c>
    </row>
    <row r="116">
      <c r="B116" s="14">
        <v>107</v>
      </c>
      <c r="C116" s="23" t="s">
        <v>398</v>
      </c>
      <c r="D116" s="24">
        <v>0.1777</v>
      </c>
      <c r="E116" s="15">
        <v>71459093</v>
      </c>
      <c r="F116" s="15">
        <v>71459093</v>
      </c>
      <c r="G116" s="14" t="s">
        <v>24</v>
      </c>
      <c r="H116" s="16">
        <v>0.00093069993027927993</v>
      </c>
      <c r="I116" s="16">
        <v>0.00095357413022938533</v>
      </c>
      <c r="J116" s="14" t="s">
        <v>19</v>
      </c>
    </row>
    <row r="117">
      <c r="B117" s="14">
        <v>108</v>
      </c>
      <c r="C117" s="23" t="s">
        <v>399</v>
      </c>
      <c r="D117" s="24">
        <v>0.0751</v>
      </c>
      <c r="E117" s="15">
        <v>68978806</v>
      </c>
      <c r="F117" s="15">
        <v>68978806</v>
      </c>
      <c r="G117" s="14" t="s">
        <v>24</v>
      </c>
      <c r="H117" s="16">
        <v>0.00162056833634285</v>
      </c>
      <c r="I117" s="16">
        <v>0.0016603976976015452</v>
      </c>
      <c r="J117" s="14" t="s">
        <v>19</v>
      </c>
    </row>
    <row r="118">
      <c r="B118" s="14">
        <v>109</v>
      </c>
      <c r="C118" s="23" t="s">
        <v>400</v>
      </c>
      <c r="D118" s="24">
        <v>0.2253</v>
      </c>
      <c r="E118" s="15">
        <v>804648094</v>
      </c>
      <c r="F118" s="15">
        <v>804648094</v>
      </c>
      <c r="G118" s="14" t="s">
        <v>24</v>
      </c>
      <c r="H118" s="16">
        <v>0.00055221142515419</v>
      </c>
      <c r="I118" s="16">
        <v>0.00056578335178792077</v>
      </c>
      <c r="J118" s="14" t="s">
        <v>24</v>
      </c>
    </row>
    <row r="119">
      <c r="B119" s="14">
        <v>110</v>
      </c>
      <c r="C119" s="23" t="s">
        <v>401</v>
      </c>
      <c r="D119" s="24">
        <v>0.075</v>
      </c>
      <c r="E119" s="15">
        <v>970989765</v>
      </c>
      <c r="F119" s="15">
        <v>970989765</v>
      </c>
      <c r="G119" s="14" t="s">
        <v>24</v>
      </c>
      <c r="H119" s="16">
        <v>0.00294271945578157</v>
      </c>
      <c r="I119" s="16">
        <v>0.0030150438788282686</v>
      </c>
      <c r="J119" s="14" t="s">
        <v>19</v>
      </c>
    </row>
    <row r="120">
      <c r="B120" s="14">
        <v>111</v>
      </c>
      <c r="C120" s="23" t="s">
        <v>402</v>
      </c>
      <c r="D120" s="24">
        <v>0.1888</v>
      </c>
      <c r="E120" s="15">
        <v>1500093918</v>
      </c>
      <c r="F120" s="15">
        <v>1500093918</v>
      </c>
      <c r="G120" s="14" t="s">
        <v>24</v>
      </c>
      <c r="H120" s="16">
        <v>0.00142023132798697</v>
      </c>
      <c r="I120" s="16">
        <v>0.0014551369356223156</v>
      </c>
      <c r="J120" s="14" t="s">
        <v>19</v>
      </c>
    </row>
    <row r="121">
      <c r="B121" s="14">
        <v>112</v>
      </c>
      <c r="C121" s="23" t="s">
        <v>403</v>
      </c>
      <c r="D121" s="24">
        <v>0.1999</v>
      </c>
      <c r="E121" s="15">
        <v>830483146</v>
      </c>
      <c r="F121" s="15">
        <v>830898803</v>
      </c>
      <c r="G121" s="14" t="s">
        <v>19</v>
      </c>
      <c r="H121" s="16">
        <v>0.00170566411973377</v>
      </c>
      <c r="I121" s="16">
        <v>0.0017484595925592972</v>
      </c>
      <c r="J121" s="14" t="s">
        <v>24</v>
      </c>
    </row>
    <row r="122">
      <c r="B122" s="14">
        <v>113</v>
      </c>
      <c r="C122" s="23" t="s">
        <v>404</v>
      </c>
      <c r="D122" s="24">
        <v>0.1429</v>
      </c>
      <c r="E122" s="15">
        <v>1512934492</v>
      </c>
      <c r="F122" s="15">
        <v>1485899236</v>
      </c>
      <c r="G122" s="14" t="s">
        <v>20</v>
      </c>
      <c r="H122" s="16">
        <v>0.0123912955285651</v>
      </c>
      <c r="I122" s="16">
        <v>0.012468974207417726</v>
      </c>
      <c r="J122" s="14" t="s">
        <v>19</v>
      </c>
    </row>
    <row r="123">
      <c r="B123" s="14">
        <v>114</v>
      </c>
      <c r="C123" s="23" t="s">
        <v>405</v>
      </c>
      <c r="D123" s="24">
        <v>0.509</v>
      </c>
      <c r="E123" s="15">
        <v>1287333591</v>
      </c>
      <c r="F123" s="15">
        <v>1272582633</v>
      </c>
      <c r="G123" s="14" t="s">
        <v>20</v>
      </c>
      <c r="H123" s="16">
        <v>0.00161216669174234</v>
      </c>
      <c r="I123" s="16">
        <v>0.0016328624839776077</v>
      </c>
      <c r="J123" s="14" t="s">
        <v>24</v>
      </c>
    </row>
    <row r="124">
      <c r="B124" s="14">
        <v>115</v>
      </c>
      <c r="C124" s="23" t="s">
        <v>406</v>
      </c>
      <c r="D124" s="24">
        <v>0.1406</v>
      </c>
      <c r="E124" s="15">
        <v>5360075000</v>
      </c>
      <c r="F124" s="15">
        <v>5363890000</v>
      </c>
      <c r="G124" s="14" t="s">
        <v>19</v>
      </c>
      <c r="H124" s="16">
        <v>0.049807370482409</v>
      </c>
      <c r="I124" s="16">
        <v>0.0510678280127313</v>
      </c>
      <c r="J124" s="14" t="s">
        <v>19</v>
      </c>
    </row>
    <row r="125">
      <c r="B125" s="14">
        <v>116</v>
      </c>
      <c r="C125" s="23" t="s">
        <v>407</v>
      </c>
      <c r="D125" s="24">
        <v>0.1473</v>
      </c>
      <c r="E125" s="15">
        <v>988088400</v>
      </c>
      <c r="F125" s="15">
        <v>988088400</v>
      </c>
      <c r="G125" s="14" t="s">
        <v>24</v>
      </c>
      <c r="H125" s="16">
        <v>0.00264806363071959</v>
      </c>
      <c r="I125" s="16">
        <v>0.0027131461766980924</v>
      </c>
      <c r="J125" s="14" t="s">
        <v>19</v>
      </c>
    </row>
    <row r="126">
      <c r="B126" s="14">
        <v>117</v>
      </c>
      <c r="C126" s="23" t="s">
        <v>408</v>
      </c>
      <c r="D126" s="24">
        <v>0.2343</v>
      </c>
      <c r="E126" s="15">
        <v>290748285</v>
      </c>
      <c r="F126" s="15">
        <v>290748285</v>
      </c>
      <c r="G126" s="14" t="s">
        <v>24</v>
      </c>
      <c r="H126" s="16">
        <v>0.00016749191029908999</v>
      </c>
      <c r="I126" s="16">
        <v>0.00017160842762205808</v>
      </c>
      <c r="J126" s="14" t="s">
        <v>24</v>
      </c>
    </row>
    <row r="127">
      <c r="B127" s="14">
        <v>118</v>
      </c>
      <c r="C127" s="23" t="s">
        <v>409</v>
      </c>
      <c r="D127" s="24">
        <v>0.045</v>
      </c>
      <c r="E127" s="15">
        <v>107716966</v>
      </c>
      <c r="F127" s="15">
        <v>107716966</v>
      </c>
      <c r="G127" s="14" t="s">
        <v>24</v>
      </c>
      <c r="H127" s="16">
        <v>6.636942539209E-05</v>
      </c>
      <c r="I127" s="16">
        <v>6.800061376730899E-05</v>
      </c>
      <c r="J127" s="14" t="s">
        <v>24</v>
      </c>
    </row>
    <row r="128">
      <c r="B128" s="14">
        <v>119</v>
      </c>
      <c r="C128" s="23" t="s">
        <v>410</v>
      </c>
      <c r="D128" s="24">
        <v>0.2865</v>
      </c>
      <c r="E128" s="15">
        <v>601613832</v>
      </c>
      <c r="F128" s="15">
        <v>601613832</v>
      </c>
      <c r="G128" s="14" t="s">
        <v>24</v>
      </c>
      <c r="H128" s="16">
        <v>0.0054095495044972</v>
      </c>
      <c r="I128" s="16">
        <v>0.0055425022236540167</v>
      </c>
      <c r="J128" s="14" t="s">
        <v>19</v>
      </c>
    </row>
    <row r="129">
      <c r="B129" s="14">
        <v>120</v>
      </c>
      <c r="C129" s="23" t="s">
        <v>411</v>
      </c>
      <c r="D129" s="24">
        <v>0.177</v>
      </c>
      <c r="E129" s="15">
        <v>481567000</v>
      </c>
      <c r="F129" s="15">
        <v>479670000</v>
      </c>
      <c r="G129" s="14" t="s">
        <v>20</v>
      </c>
      <c r="H129" s="16">
        <v>0.00041733197021164</v>
      </c>
      <c r="I129" s="16">
        <v>0.00042590454097472683</v>
      </c>
      <c r="J129" s="14" t="s">
        <v>24</v>
      </c>
    </row>
    <row r="130">
      <c r="B130" s="14">
        <v>121</v>
      </c>
      <c r="C130" s="23" t="s">
        <v>412</v>
      </c>
      <c r="D130" s="24">
        <v>0.1871</v>
      </c>
      <c r="E130" s="15">
        <v>5627854700</v>
      </c>
      <c r="F130" s="15">
        <v>5504294900</v>
      </c>
      <c r="G130" s="14" t="s">
        <v>20</v>
      </c>
      <c r="H130" s="16">
        <v>0.00062021803531956</v>
      </c>
      <c r="I130" s="16">
        <v>0.00062150980534460233</v>
      </c>
      <c r="J130" s="14" t="s">
        <v>24</v>
      </c>
    </row>
    <row r="131">
      <c r="B131" s="14">
        <v>122</v>
      </c>
      <c r="C131" s="23" t="s">
        <v>413</v>
      </c>
      <c r="D131" s="24">
        <v>0.5078</v>
      </c>
      <c r="E131" s="15">
        <v>6282941191</v>
      </c>
      <c r="F131" s="15">
        <v>6571529427</v>
      </c>
      <c r="G131" s="14" t="s">
        <v>19</v>
      </c>
      <c r="H131" s="16">
        <v>0.0019198692978801498</v>
      </c>
      <c r="I131" s="16">
        <v>0.0020574055267863585</v>
      </c>
      <c r="J131" s="14" t="s">
        <v>19</v>
      </c>
    </row>
    <row r="132">
      <c r="B132" s="14">
        <v>123</v>
      </c>
      <c r="C132" s="23" t="s">
        <v>414</v>
      </c>
      <c r="D132" s="24">
        <v>0.1</v>
      </c>
      <c r="E132" s="15">
        <v>854448870</v>
      </c>
      <c r="F132" s="15">
        <v>854448870</v>
      </c>
      <c r="G132" s="14" t="s">
        <v>24</v>
      </c>
      <c r="H132" s="16">
        <v>0.00635610945351665</v>
      </c>
      <c r="I132" s="16">
        <v>0.006512326162569259</v>
      </c>
      <c r="J132" s="14" t="s">
        <v>19</v>
      </c>
    </row>
    <row r="133" ht="14.5" customHeight="1">
      <c r="B133" s="30" t="s">
        <v>112</v>
      </c>
      <c r="C133" s="30"/>
      <c r="D133" s="30"/>
      <c r="E133" s="30"/>
      <c r="F133" s="30"/>
      <c r="G133" s="30"/>
      <c r="H133" s="30"/>
      <c r="I133" s="30"/>
      <c r="J133" s="30"/>
    </row>
    <row r="134">
      <c r="B134" s="31"/>
      <c r="C134" s="31"/>
      <c r="D134" s="31"/>
      <c r="E134" s="31"/>
      <c r="F134" s="31"/>
      <c r="G134" s="31"/>
      <c r="H134" s="31"/>
      <c r="I134" s="31"/>
      <c r="J134" s="31"/>
    </row>
    <row r="136">
      <c r="D136" s="26"/>
      <c r="E136" s="26"/>
    </row>
  </sheetData>
  <mergeCells>
    <mergeCell ref="B133:J134"/>
    <mergeCell ref="B2:H2"/>
    <mergeCell ref="B8:B9"/>
    <mergeCell ref="C8:C9"/>
    <mergeCell ref="D8:D9"/>
    <mergeCell ref="E8:G8"/>
    <mergeCell ref="H8:J8"/>
  </mergeCells>
  <conditionalFormatting sqref="B133">
    <cfRule type="expression" dxfId="0" priority="1">
      <formula>$H133="Baru"</formula>
    </cfRule>
  </conditionalFormatting>
  <conditionalFormatting sqref="B10:J132">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D943-8B31-4600-AA3E-12F7F32EF9F1}">
  <dimension ref="A2:Q161"/>
  <sheetViews>
    <sheetView topLeftCell="A8" zoomScaleNormal="100" workbookViewId="0">
      <selection activeCell="F16" sqref="F16"/>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2" width="8.81640625" customWidth="1" style="6"/>
    <col min="13" max="13" bestFit="1" width="8.81640625" customWidth="1" style="6"/>
    <col min="14" max="15" bestFit="1" width="11.81640625" customWidth="1" style="6"/>
    <col min="16" max="16384" width="8.81640625" customWidth="1" style="6"/>
  </cols>
  <sheetData>
    <row r="2">
      <c r="B2" s="12" t="str">
        <f>LEFT('A ENERGY'!B2,9) &amp; (VALUE(MID('A ENERGY'!B2,10,1))+4) &amp; _xlfn.TEXTAFTER('A ENERGY'!B2,"Lampiran 5")</f>
        <v>Lampiran 9 Pengumuman BEI No. Peng-00044/BEI.POP/03-2026 tanggal 25 Maret 2026</v>
      </c>
      <c r="C2" s="12"/>
      <c r="D2" s="12"/>
      <c r="E2" s="12"/>
      <c r="F2" s="12"/>
      <c r="G2" s="12"/>
      <c r="H2" s="12"/>
    </row>
    <row r="3">
      <c r="B3" s="5" t="s">
        <v>1</v>
      </c>
      <c r="F3" s="22"/>
      <c r="G3" s="22" t="s">
        <v>415</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416</v>
      </c>
      <c r="D10" s="24">
        <v>0.33</v>
      </c>
      <c r="E10" s="15">
        <v>1298844643</v>
      </c>
      <c r="F10" s="15">
        <v>1298844643</v>
      </c>
      <c r="G10" s="14" t="s">
        <v>24</v>
      </c>
      <c r="H10" s="16">
        <v>0.00044984842293402003</v>
      </c>
      <c r="I10" s="16">
        <v>0.0004212187276388088</v>
      </c>
      <c r="J10" s="14" t="s">
        <v>24</v>
      </c>
    </row>
    <row r="11">
      <c r="B11" s="14">
        <v>2</v>
      </c>
      <c r="C11" s="23" t="s">
        <v>417</v>
      </c>
      <c r="D11" s="24">
        <v>0.3999</v>
      </c>
      <c r="E11" s="15">
        <v>6846443841</v>
      </c>
      <c r="F11" s="15">
        <v>6846443841</v>
      </c>
      <c r="G11" s="14" t="s">
        <v>24</v>
      </c>
      <c r="H11" s="16">
        <v>0.0231043116753691</v>
      </c>
      <c r="I11" s="16">
        <v>0.021633884375678175</v>
      </c>
      <c r="J11" s="14" t="s">
        <v>20</v>
      </c>
    </row>
    <row r="12">
      <c r="B12" s="14">
        <v>3</v>
      </c>
      <c r="C12" s="23" t="s">
        <v>418</v>
      </c>
      <c r="D12" s="24">
        <v>0.2104</v>
      </c>
      <c r="E12" s="15">
        <v>720207460</v>
      </c>
      <c r="F12" s="15">
        <v>729950301</v>
      </c>
      <c r="G12" s="14" t="s">
        <v>19</v>
      </c>
      <c r="H12" s="16">
        <v>0.00041573382391856</v>
      </c>
      <c r="I12" s="16">
        <v>0.00039454133169099459</v>
      </c>
      <c r="J12" s="14" t="s">
        <v>24</v>
      </c>
    </row>
    <row r="13">
      <c r="B13" s="14">
        <v>4</v>
      </c>
      <c r="C13" s="23" t="s">
        <v>419</v>
      </c>
      <c r="D13" s="24">
        <v>0.6106</v>
      </c>
      <c r="E13" s="15">
        <v>3938042496</v>
      </c>
      <c r="F13" s="15">
        <v>3938042496</v>
      </c>
      <c r="G13" s="14" t="s">
        <v>24</v>
      </c>
      <c r="H13" s="16">
        <v>0.00129397686066706</v>
      </c>
      <c r="I13" s="16">
        <v>0.0012116243142270963</v>
      </c>
      <c r="J13" s="14" t="s">
        <v>20</v>
      </c>
    </row>
    <row r="14">
      <c r="B14" s="14">
        <v>5</v>
      </c>
      <c r="C14" s="23" t="s">
        <v>420</v>
      </c>
      <c r="D14" s="24">
        <v>0.0757</v>
      </c>
      <c r="E14" s="15">
        <v>240297464</v>
      </c>
      <c r="F14" s="15">
        <v>240297464</v>
      </c>
      <c r="G14" s="14" t="s">
        <v>24</v>
      </c>
      <c r="H14" s="16">
        <v>0.00183523645095093</v>
      </c>
      <c r="I14" s="16">
        <v>0.0017184365334670946</v>
      </c>
      <c r="J14" s="14" t="s">
        <v>20</v>
      </c>
    </row>
    <row r="15">
      <c r="B15" s="14">
        <v>6</v>
      </c>
      <c r="C15" s="23" t="s">
        <v>421</v>
      </c>
      <c r="D15" s="24">
        <v>0.1659</v>
      </c>
      <c r="E15" s="15">
        <v>64767755</v>
      </c>
      <c r="F15" s="15">
        <v>74103246</v>
      </c>
      <c r="G15" s="14" t="s">
        <v>19</v>
      </c>
      <c r="H15" s="16">
        <v>0.00159324660049339</v>
      </c>
      <c r="I15" s="16">
        <v>0.0017068794766907172</v>
      </c>
      <c r="J15" s="14" t="s">
        <v>19</v>
      </c>
    </row>
    <row r="16">
      <c r="B16" s="14">
        <v>7</v>
      </c>
      <c r="C16" s="23" t="s">
        <v>422</v>
      </c>
      <c r="D16" s="24">
        <v>0.1944</v>
      </c>
      <c r="E16" s="15">
        <v>2161781771</v>
      </c>
      <c r="F16" s="15">
        <v>2477891369</v>
      </c>
      <c r="G16" s="14" t="s">
        <v>19</v>
      </c>
      <c r="H16" s="16">
        <v>0.00142065282044425</v>
      </c>
      <c r="I16" s="16">
        <v>0.0015247542066478554</v>
      </c>
      <c r="J16" s="14" t="s">
        <v>19</v>
      </c>
    </row>
    <row r="17">
      <c r="B17" s="14">
        <v>8</v>
      </c>
      <c r="C17" s="23" t="s">
        <v>423</v>
      </c>
      <c r="D17" s="24">
        <v>0.1997</v>
      </c>
      <c r="E17" s="15">
        <v>962500680</v>
      </c>
      <c r="F17" s="15">
        <v>962500680</v>
      </c>
      <c r="G17" s="14" t="s">
        <v>24</v>
      </c>
      <c r="H17" s="16">
        <v>0.0215400136193651</v>
      </c>
      <c r="I17" s="16">
        <v>0.020169142915217663</v>
      </c>
      <c r="J17" s="14" t="s">
        <v>20</v>
      </c>
    </row>
    <row r="18" s="7" customFormat="1">
      <c r="B18" s="14">
        <v>9</v>
      </c>
      <c r="C18" s="23" t="s">
        <v>424</v>
      </c>
      <c r="D18" s="24">
        <v>0.0765</v>
      </c>
      <c r="E18" s="15">
        <v>200141343</v>
      </c>
      <c r="F18" s="15">
        <v>200141343</v>
      </c>
      <c r="G18" s="14" t="s">
        <v>24</v>
      </c>
      <c r="H18" s="16">
        <v>0.00036258627849591</v>
      </c>
      <c r="I18" s="16">
        <v>0.00033951020639445324</v>
      </c>
      <c r="J18" s="14" t="s">
        <v>20</v>
      </c>
    </row>
    <row r="19" s="7" customFormat="1">
      <c r="B19" s="14">
        <v>10</v>
      </c>
      <c r="C19" s="23" t="s">
        <v>425</v>
      </c>
      <c r="D19" s="24">
        <v>0.2018</v>
      </c>
      <c r="E19" s="15">
        <v>225001291</v>
      </c>
      <c r="F19" s="15">
        <v>227529010</v>
      </c>
      <c r="G19" s="14" t="s">
        <v>19</v>
      </c>
      <c r="H19" s="16">
        <v>0.00056747631225180994</v>
      </c>
      <c r="I19" s="16">
        <v>0.0005373298591462895</v>
      </c>
      <c r="J19" s="14" t="s">
        <v>20</v>
      </c>
    </row>
    <row r="20">
      <c r="B20" s="14">
        <v>11</v>
      </c>
      <c r="C20" s="23" t="s">
        <v>426</v>
      </c>
      <c r="D20" s="24">
        <v>0.1696</v>
      </c>
      <c r="E20" s="15">
        <v>220480000</v>
      </c>
      <c r="F20" s="15">
        <v>220480000</v>
      </c>
      <c r="G20" s="14" t="s">
        <v>24</v>
      </c>
      <c r="H20" s="16">
        <v>0.00012335425578083</v>
      </c>
      <c r="I20" s="16">
        <v>0.00011550362305939296</v>
      </c>
      <c r="J20" s="14" t="s">
        <v>24</v>
      </c>
    </row>
    <row r="21">
      <c r="B21" s="14">
        <v>12</v>
      </c>
      <c r="C21" s="23" t="s">
        <v>427</v>
      </c>
      <c r="D21" s="24">
        <v>0.3008</v>
      </c>
      <c r="E21" s="15">
        <v>1445335092</v>
      </c>
      <c r="F21" s="15">
        <v>1443895037</v>
      </c>
      <c r="G21" s="14" t="s">
        <v>20</v>
      </c>
      <c r="H21" s="16">
        <v>0.00034655861489395</v>
      </c>
      <c r="I21" s="16">
        <v>0.00032417927398596983</v>
      </c>
      <c r="J21" s="14" t="s">
        <v>24</v>
      </c>
    </row>
    <row r="22">
      <c r="B22" s="14">
        <v>13</v>
      </c>
      <c r="C22" s="23" t="s">
        <v>428</v>
      </c>
      <c r="D22" s="24">
        <v>0.451</v>
      </c>
      <c r="E22" s="15">
        <v>159302572</v>
      </c>
      <c r="F22" s="15">
        <v>159302572</v>
      </c>
      <c r="G22" s="14" t="s">
        <v>24</v>
      </c>
      <c r="H22" s="16">
        <v>0.00193107804766428</v>
      </c>
      <c r="I22" s="16">
        <v>0.0018081784790948321</v>
      </c>
      <c r="J22" s="14" t="s">
        <v>20</v>
      </c>
    </row>
    <row r="23">
      <c r="B23" s="14">
        <v>14</v>
      </c>
      <c r="C23" s="23" t="s">
        <v>429</v>
      </c>
      <c r="D23" s="24">
        <v>0.0903</v>
      </c>
      <c r="E23" s="15">
        <v>569125000</v>
      </c>
      <c r="F23" s="15">
        <v>654675000</v>
      </c>
      <c r="G23" s="14" t="s">
        <v>19</v>
      </c>
      <c r="H23" s="16">
        <v>0.00057617830603532</v>
      </c>
      <c r="I23" s="16">
        <v>0.00062060670835136921</v>
      </c>
      <c r="J23" s="14" t="s">
        <v>24</v>
      </c>
    </row>
    <row r="24">
      <c r="B24" s="14">
        <v>15</v>
      </c>
      <c r="C24" s="23" t="s">
        <v>430</v>
      </c>
      <c r="D24" s="24">
        <v>0.2503</v>
      </c>
      <c r="E24" s="15">
        <v>323867276</v>
      </c>
      <c r="F24" s="15">
        <v>323867276</v>
      </c>
      <c r="G24" s="14" t="s">
        <v>24</v>
      </c>
      <c r="H24" s="16">
        <v>0.0011274506032059601</v>
      </c>
      <c r="I24" s="16">
        <v>0.0010556962841272491</v>
      </c>
      <c r="J24" s="14" t="s">
        <v>24</v>
      </c>
    </row>
    <row r="25">
      <c r="B25" s="14">
        <v>16</v>
      </c>
      <c r="C25" s="23" t="s">
        <v>431</v>
      </c>
      <c r="D25" s="24">
        <v>0.1343</v>
      </c>
      <c r="E25" s="15">
        <v>81677999</v>
      </c>
      <c r="F25" s="15">
        <v>81677999</v>
      </c>
      <c r="G25" s="14" t="s">
        <v>24</v>
      </c>
      <c r="H25" s="16">
        <v>5.947895500622E-05</v>
      </c>
      <c r="I25" s="16">
        <v>5.5693536690884703E-05</v>
      </c>
      <c r="J25" s="14" t="s">
        <v>24</v>
      </c>
    </row>
    <row r="26">
      <c r="B26" s="14">
        <v>17</v>
      </c>
      <c r="C26" s="23" t="s">
        <v>432</v>
      </c>
      <c r="D26" s="24">
        <v>0.0896</v>
      </c>
      <c r="E26" s="15">
        <v>78304768</v>
      </c>
      <c r="F26" s="15">
        <v>78304768</v>
      </c>
      <c r="G26" s="14" t="s">
        <v>24</v>
      </c>
      <c r="H26" s="16">
        <v>0.0018775709583111599</v>
      </c>
      <c r="I26" s="16">
        <v>0.0017580767412569724</v>
      </c>
      <c r="J26" s="14" t="s">
        <v>20</v>
      </c>
    </row>
    <row r="27">
      <c r="B27" s="14">
        <v>18</v>
      </c>
      <c r="C27" s="23" t="s">
        <v>433</v>
      </c>
      <c r="D27" s="24">
        <v>0.4685</v>
      </c>
      <c r="E27" s="15">
        <v>7767944469</v>
      </c>
      <c r="F27" s="15">
        <v>7769602869</v>
      </c>
      <c r="G27" s="14" t="s">
        <v>19</v>
      </c>
      <c r="H27" s="16">
        <v>0.00855405789288854</v>
      </c>
      <c r="I27" s="16">
        <v>0.0080113621404132931</v>
      </c>
      <c r="J27" s="14" t="s">
        <v>20</v>
      </c>
    </row>
    <row r="28">
      <c r="B28" s="14">
        <v>19</v>
      </c>
      <c r="C28" s="23" t="s">
        <v>434</v>
      </c>
      <c r="D28" s="24">
        <v>0.705</v>
      </c>
      <c r="E28" s="15">
        <v>2681485978</v>
      </c>
      <c r="F28" s="15">
        <v>2681485978</v>
      </c>
      <c r="G28" s="14" t="s">
        <v>24</v>
      </c>
      <c r="H28" s="16">
        <v>0.0335767788861898</v>
      </c>
      <c r="I28" s="16">
        <v>0.031439852541302826</v>
      </c>
      <c r="J28" s="14" t="s">
        <v>20</v>
      </c>
    </row>
    <row r="29">
      <c r="B29" s="14">
        <v>20</v>
      </c>
      <c r="C29" s="23" t="s">
        <v>435</v>
      </c>
      <c r="D29" s="24">
        <v>0.4154</v>
      </c>
      <c r="E29" s="15">
        <v>2479200000</v>
      </c>
      <c r="F29" s="15">
        <v>2492400000</v>
      </c>
      <c r="G29" s="14" t="s">
        <v>19</v>
      </c>
      <c r="H29" s="16">
        <v>0.0032144657800043004</v>
      </c>
      <c r="I29" s="16">
        <v>0.0030259131301209863</v>
      </c>
      <c r="J29" s="14" t="s">
        <v>20</v>
      </c>
    </row>
    <row r="30">
      <c r="B30" s="14">
        <v>21</v>
      </c>
      <c r="C30" s="23" t="s">
        <v>436</v>
      </c>
      <c r="D30" s="24">
        <v>0.1003</v>
      </c>
      <c r="E30" s="15">
        <v>235078125</v>
      </c>
      <c r="F30" s="15">
        <v>235078125</v>
      </c>
      <c r="G30" s="14" t="s">
        <v>24</v>
      </c>
      <c r="H30" s="16">
        <v>0.00193107143020911</v>
      </c>
      <c r="I30" s="16">
        <v>0.0018081722852913769</v>
      </c>
      <c r="J30" s="14" t="s">
        <v>20</v>
      </c>
    </row>
    <row r="31">
      <c r="B31" s="14">
        <v>22</v>
      </c>
      <c r="C31" s="23" t="s">
        <v>437</v>
      </c>
      <c r="D31" s="24">
        <v>0.1598</v>
      </c>
      <c r="E31" s="15">
        <v>71919105</v>
      </c>
      <c r="F31" s="15">
        <v>71919105</v>
      </c>
      <c r="G31" s="14" t="s">
        <v>24</v>
      </c>
      <c r="H31" s="16">
        <v>0.00275274468069949</v>
      </c>
      <c r="I31" s="16">
        <v>0.0025775518140959911</v>
      </c>
      <c r="J31" s="14" t="s">
        <v>20</v>
      </c>
    </row>
    <row r="32">
      <c r="B32" s="14">
        <v>23</v>
      </c>
      <c r="C32" s="23" t="s">
        <v>438</v>
      </c>
      <c r="D32" s="24">
        <v>0.3765</v>
      </c>
      <c r="E32" s="15">
        <v>8983494691</v>
      </c>
      <c r="F32" s="15">
        <v>9268321073</v>
      </c>
      <c r="G32" s="14" t="s">
        <v>19</v>
      </c>
      <c r="H32" s="16">
        <v>0.0757902445762892</v>
      </c>
      <c r="I32" s="16">
        <v>0.073216764461756415</v>
      </c>
      <c r="J32" s="14" t="s">
        <v>20</v>
      </c>
    </row>
    <row r="33">
      <c r="B33" s="14">
        <v>24</v>
      </c>
      <c r="C33" s="23" t="s">
        <v>439</v>
      </c>
      <c r="D33" s="24">
        <v>0.9451</v>
      </c>
      <c r="E33" s="15">
        <v>14176500000</v>
      </c>
      <c r="F33" s="15">
        <v>14176500000</v>
      </c>
      <c r="G33" s="14" t="s">
        <v>24</v>
      </c>
      <c r="H33" s="16">
        <v>0.011456574993952499</v>
      </c>
      <c r="I33" s="16">
        <v>0.010727444394008676</v>
      </c>
      <c r="J33" s="14" t="s">
        <v>20</v>
      </c>
    </row>
    <row r="34">
      <c r="B34" s="14">
        <v>25</v>
      </c>
      <c r="C34" s="23" t="s">
        <v>440</v>
      </c>
      <c r="D34" s="24">
        <v>0.24</v>
      </c>
      <c r="E34" s="15">
        <v>450000000</v>
      </c>
      <c r="F34" s="15">
        <v>450000000</v>
      </c>
      <c r="G34" s="14" t="s">
        <v>24</v>
      </c>
      <c r="H34" s="16">
        <v>0.00019981445641461997</v>
      </c>
      <c r="I34" s="16">
        <v>0.0001870976684950254</v>
      </c>
      <c r="J34" s="14" t="s">
        <v>24</v>
      </c>
    </row>
    <row r="35">
      <c r="B35" s="14">
        <v>26</v>
      </c>
      <c r="C35" s="23" t="s">
        <v>441</v>
      </c>
      <c r="D35" s="24">
        <v>0.1794</v>
      </c>
      <c r="E35" s="15">
        <v>177900000</v>
      </c>
      <c r="F35" s="15">
        <v>179400000</v>
      </c>
      <c r="G35" s="14" t="s">
        <v>19</v>
      </c>
      <c r="H35" s="16">
        <v>0.0003001745973898</v>
      </c>
      <c r="I35" s="16">
        <v>0.00028344049459206379</v>
      </c>
      <c r="J35" s="14" t="s">
        <v>24</v>
      </c>
    </row>
    <row r="36">
      <c r="B36" s="14">
        <v>27</v>
      </c>
      <c r="C36" s="23" t="s">
        <v>442</v>
      </c>
      <c r="D36" s="24">
        <v>0.186</v>
      </c>
      <c r="E36" s="15">
        <v>478020000</v>
      </c>
      <c r="F36" s="15">
        <v>478020000</v>
      </c>
      <c r="G36" s="14" t="s">
        <v>24</v>
      </c>
      <c r="H36" s="16">
        <v>0.0115891905165785</v>
      </c>
      <c r="I36" s="16">
        <v>0.010851619869271033</v>
      </c>
      <c r="J36" s="14" t="s">
        <v>20</v>
      </c>
    </row>
    <row r="37">
      <c r="B37" s="14">
        <v>28</v>
      </c>
      <c r="C37" s="23" t="s">
        <v>443</v>
      </c>
      <c r="D37" s="24">
        <v>0.0796</v>
      </c>
      <c r="E37" s="15">
        <v>6642596500</v>
      </c>
      <c r="F37" s="15">
        <v>6634262000</v>
      </c>
      <c r="G37" s="14" t="s">
        <v>20</v>
      </c>
      <c r="H37" s="16">
        <v>0.0061350145830325695</v>
      </c>
      <c r="I37" s="16">
        <v>0.005737356224358</v>
      </c>
      <c r="J37" s="14" t="s">
        <v>20</v>
      </c>
    </row>
    <row r="38">
      <c r="B38" s="14">
        <v>29</v>
      </c>
      <c r="C38" s="23" t="s">
        <v>444</v>
      </c>
      <c r="D38" s="24">
        <v>0.0136</v>
      </c>
      <c r="E38" s="15">
        <v>952000</v>
      </c>
      <c r="F38" s="15">
        <v>952000</v>
      </c>
      <c r="G38" s="14" t="s">
        <v>24</v>
      </c>
      <c r="H38" s="16">
        <v>1.20052077671E-06</v>
      </c>
      <c r="I38" s="16">
        <v>1.1241160541258449E-06</v>
      </c>
      <c r="J38" s="14" t="s">
        <v>24</v>
      </c>
    </row>
    <row r="39">
      <c r="B39" s="14">
        <v>30</v>
      </c>
      <c r="C39" s="23" t="s">
        <v>445</v>
      </c>
      <c r="D39" s="24">
        <v>0.1696</v>
      </c>
      <c r="E39" s="15">
        <v>1011036859</v>
      </c>
      <c r="F39" s="15">
        <v>963866506</v>
      </c>
      <c r="G39" s="14" t="s">
        <v>20</v>
      </c>
      <c r="H39" s="16">
        <v>0.0025678958752587498</v>
      </c>
      <c r="I39" s="16">
        <v>0.0022922858808373777</v>
      </c>
      <c r="J39" s="14" t="s">
        <v>20</v>
      </c>
    </row>
    <row r="40">
      <c r="B40" s="14">
        <v>31</v>
      </c>
      <c r="C40" s="23" t="s">
        <v>446</v>
      </c>
      <c r="D40" s="24">
        <v>0.4385</v>
      </c>
      <c r="E40" s="15">
        <v>323894809</v>
      </c>
      <c r="F40" s="15">
        <v>357842968</v>
      </c>
      <c r="G40" s="14" t="s">
        <v>19</v>
      </c>
      <c r="H40" s="16">
        <v>0.00023011152069636</v>
      </c>
      <c r="I40" s="16">
        <v>0.00023805007983418867</v>
      </c>
      <c r="J40" s="14" t="s">
        <v>24</v>
      </c>
    </row>
    <row r="41">
      <c r="B41" s="14">
        <v>32</v>
      </c>
      <c r="C41" s="23" t="s">
        <v>447</v>
      </c>
      <c r="D41" s="24">
        <v>0.0751</v>
      </c>
      <c r="E41" s="15">
        <v>509929000</v>
      </c>
      <c r="F41" s="15">
        <v>509929000</v>
      </c>
      <c r="G41" s="14" t="s">
        <v>24</v>
      </c>
      <c r="H41" s="16">
        <v>0.00095098440215381</v>
      </c>
      <c r="I41" s="16">
        <v>0.0008904609186479982</v>
      </c>
      <c r="J41" s="14" t="s">
        <v>20</v>
      </c>
    </row>
    <row r="42">
      <c r="B42" s="14">
        <v>33</v>
      </c>
      <c r="C42" s="23" t="s">
        <v>448</v>
      </c>
      <c r="D42" s="24">
        <v>0.2305</v>
      </c>
      <c r="E42" s="15">
        <v>437916082</v>
      </c>
      <c r="F42" s="15">
        <v>437916082</v>
      </c>
      <c r="G42" s="14" t="s">
        <v>24</v>
      </c>
      <c r="H42" s="16">
        <v>0.00027222833207127</v>
      </c>
      <c r="I42" s="16">
        <v>0.00025490290909889257</v>
      </c>
      <c r="J42" s="14" t="s">
        <v>24</v>
      </c>
    </row>
    <row r="43">
      <c r="B43" s="14">
        <v>34</v>
      </c>
      <c r="C43" s="23" t="s">
        <v>449</v>
      </c>
      <c r="D43" s="24">
        <v>0.3058</v>
      </c>
      <c r="E43" s="15">
        <v>496925000</v>
      </c>
      <c r="F43" s="15">
        <v>496925000</v>
      </c>
      <c r="G43" s="14" t="s">
        <v>24</v>
      </c>
      <c r="H43" s="16">
        <v>0.00014121642489434</v>
      </c>
      <c r="I43" s="16">
        <v>0.0001322289904595776</v>
      </c>
      <c r="J43" s="14" t="s">
        <v>24</v>
      </c>
    </row>
    <row r="44">
      <c r="B44" s="14">
        <v>35</v>
      </c>
      <c r="C44" s="23" t="s">
        <v>450</v>
      </c>
      <c r="D44" s="24">
        <v>0.2939</v>
      </c>
      <c r="E44" s="15">
        <v>2274460075</v>
      </c>
      <c r="F44" s="15">
        <v>2274460075</v>
      </c>
      <c r="G44" s="14" t="s">
        <v>24</v>
      </c>
      <c r="H44" s="16">
        <v>0.0024642373524351798</v>
      </c>
      <c r="I44" s="16">
        <v>0.002307405938635692</v>
      </c>
      <c r="J44" s="14" t="s">
        <v>20</v>
      </c>
    </row>
    <row r="45">
      <c r="B45" s="14">
        <v>36</v>
      </c>
      <c r="C45" s="23" t="s">
        <v>451</v>
      </c>
      <c r="D45" s="24">
        <v>0.198</v>
      </c>
      <c r="E45" s="15">
        <v>341550000</v>
      </c>
      <c r="F45" s="15">
        <v>341550000</v>
      </c>
      <c r="G45" s="14" t="s">
        <v>24</v>
      </c>
      <c r="H45" s="16">
        <v>0.00045497751725609</v>
      </c>
      <c r="I45" s="16">
        <v>0.00042602139116317282</v>
      </c>
      <c r="J45" s="14" t="s">
        <v>20</v>
      </c>
    </row>
    <row r="46">
      <c r="B46" s="14">
        <v>37</v>
      </c>
      <c r="C46" s="23" t="s">
        <v>452</v>
      </c>
      <c r="D46" s="24">
        <v>0.1904</v>
      </c>
      <c r="E46" s="15">
        <v>479529406</v>
      </c>
      <c r="F46" s="15">
        <v>895999990</v>
      </c>
      <c r="G46" s="14" t="s">
        <v>19</v>
      </c>
      <c r="H46" s="16">
        <v>0.00417335864190318</v>
      </c>
      <c r="I46" s="16">
        <v>0.0073016319512838358</v>
      </c>
      <c r="J46" s="14" t="s">
        <v>19</v>
      </c>
    </row>
    <row r="47">
      <c r="B47" s="14">
        <v>38</v>
      </c>
      <c r="C47" s="23" t="s">
        <v>453</v>
      </c>
      <c r="D47" s="24">
        <v>0.87</v>
      </c>
      <c r="E47" s="15">
        <v>1116497100</v>
      </c>
      <c r="F47" s="15">
        <v>1116497100</v>
      </c>
      <c r="G47" s="14" t="s">
        <v>24</v>
      </c>
      <c r="H47" s="16">
        <v>0.00174507724257778</v>
      </c>
      <c r="I47" s="16">
        <v>0.0016340153224576211</v>
      </c>
      <c r="J47" s="14" t="s">
        <v>20</v>
      </c>
    </row>
    <row r="48" s="7" customFormat="1">
      <c r="B48" s="14">
        <v>39</v>
      </c>
      <c r="C48" s="23" t="s">
        <v>454</v>
      </c>
      <c r="D48" s="24">
        <v>0.3847</v>
      </c>
      <c r="E48" s="15">
        <v>1265155876</v>
      </c>
      <c r="F48" s="15">
        <v>1587428133</v>
      </c>
      <c r="G48" s="14" t="s">
        <v>19</v>
      </c>
      <c r="H48" s="16">
        <v>0.00101118573457081</v>
      </c>
      <c r="I48" s="16">
        <v>0.0011880164101706319</v>
      </c>
      <c r="J48" s="14" t="s">
        <v>19</v>
      </c>
    </row>
    <row r="49" s="7" customFormat="1">
      <c r="B49" s="14">
        <v>40</v>
      </c>
      <c r="C49" s="23" t="s">
        <v>455</v>
      </c>
      <c r="D49" s="24">
        <v>0.1245</v>
      </c>
      <c r="E49" s="15">
        <v>166391325</v>
      </c>
      <c r="F49" s="15">
        <v>166124459</v>
      </c>
      <c r="G49" s="14" t="s">
        <v>20</v>
      </c>
      <c r="H49" s="16">
        <v>0.00030144302222332</v>
      </c>
      <c r="I49" s="16">
        <v>0.00028180558971249405</v>
      </c>
      <c r="J49" s="14" t="s">
        <v>24</v>
      </c>
    </row>
    <row r="50">
      <c r="B50" s="14">
        <v>41</v>
      </c>
      <c r="C50" s="23" t="s">
        <v>456</v>
      </c>
      <c r="D50" s="24">
        <v>0.0969</v>
      </c>
      <c r="E50" s="15">
        <v>203233346</v>
      </c>
      <c r="F50" s="15">
        <v>209950013</v>
      </c>
      <c r="G50" s="14" t="s">
        <v>19</v>
      </c>
      <c r="H50" s="16">
        <v>0.00073998550347062</v>
      </c>
      <c r="I50" s="16">
        <v>0.000715789988724947</v>
      </c>
      <c r="J50" s="14" t="s">
        <v>24</v>
      </c>
    </row>
    <row r="51">
      <c r="B51" s="14">
        <v>42</v>
      </c>
      <c r="C51" s="23" t="s">
        <v>457</v>
      </c>
      <c r="D51" s="24">
        <v>0.4122</v>
      </c>
      <c r="E51" s="15">
        <v>6982910000</v>
      </c>
      <c r="F51" s="15">
        <v>6574590000</v>
      </c>
      <c r="G51" s="14" t="s">
        <v>20</v>
      </c>
      <c r="H51" s="16">
        <v>0.022944709127183202</v>
      </c>
      <c r="I51" s="16">
        <v>0.020228154236220548</v>
      </c>
      <c r="J51" s="14" t="s">
        <v>20</v>
      </c>
    </row>
    <row r="52">
      <c r="B52" s="14">
        <v>43</v>
      </c>
      <c r="C52" s="23" t="s">
        <v>458</v>
      </c>
      <c r="D52" s="24">
        <v>0.198</v>
      </c>
      <c r="E52" s="15">
        <v>1027125000</v>
      </c>
      <c r="F52" s="15">
        <v>1027125000</v>
      </c>
      <c r="G52" s="14" t="s">
        <v>24</v>
      </c>
      <c r="H52" s="16">
        <v>0.00288240345956347</v>
      </c>
      <c r="I52" s="16">
        <v>0.0026989587071081394</v>
      </c>
      <c r="J52" s="14" t="s">
        <v>20</v>
      </c>
    </row>
    <row r="53">
      <c r="B53" s="14">
        <v>44</v>
      </c>
      <c r="C53" s="23" t="s">
        <v>459</v>
      </c>
      <c r="D53" s="24">
        <v>0.075</v>
      </c>
      <c r="E53" s="15">
        <v>96490484</v>
      </c>
      <c r="F53" s="15">
        <v>96490484</v>
      </c>
      <c r="G53" s="14" t="s">
        <v>24</v>
      </c>
      <c r="H53" s="16">
        <v>0.00017052260125863</v>
      </c>
      <c r="I53" s="16">
        <v>0.00015967003502115237</v>
      </c>
      <c r="J53" s="14" t="s">
        <v>24</v>
      </c>
    </row>
    <row r="54">
      <c r="B54" s="14">
        <v>45</v>
      </c>
      <c r="C54" s="23" t="s">
        <v>460</v>
      </c>
      <c r="D54" s="24">
        <v>0.0944</v>
      </c>
      <c r="E54" s="15">
        <v>205427499</v>
      </c>
      <c r="F54" s="15">
        <v>228953434</v>
      </c>
      <c r="G54" s="14" t="s">
        <v>19</v>
      </c>
      <c r="H54" s="16">
        <v>0.00023898699155264</v>
      </c>
      <c r="I54" s="16">
        <v>0.00024940451761263385</v>
      </c>
      <c r="J54" s="14" t="s">
        <v>24</v>
      </c>
    </row>
    <row r="55">
      <c r="B55" s="14">
        <v>46</v>
      </c>
      <c r="C55" s="23" t="s">
        <v>461</v>
      </c>
      <c r="D55" s="24">
        <v>0.0849</v>
      </c>
      <c r="E55" s="15">
        <v>171091220</v>
      </c>
      <c r="F55" s="15">
        <v>171091220</v>
      </c>
      <c r="G55" s="14" t="s">
        <v>24</v>
      </c>
      <c r="H55" s="16">
        <v>0.00019144439508104</v>
      </c>
      <c r="I55" s="16">
        <v>0.00017926030317068996</v>
      </c>
      <c r="J55" s="14" t="s">
        <v>24</v>
      </c>
    </row>
    <row r="56">
      <c r="B56" s="14">
        <v>47</v>
      </c>
      <c r="C56" s="23" t="s">
        <v>462</v>
      </c>
      <c r="D56" s="24">
        <v>0.2089</v>
      </c>
      <c r="E56" s="15">
        <v>944982232</v>
      </c>
      <c r="F56" s="15">
        <v>944982232</v>
      </c>
      <c r="G56" s="14" t="s">
        <v>24</v>
      </c>
      <c r="H56" s="16">
        <v>0.00226585333210266</v>
      </c>
      <c r="I56" s="16">
        <v>0.00212164766802047</v>
      </c>
      <c r="J56" s="14" t="s">
        <v>20</v>
      </c>
    </row>
    <row r="57">
      <c r="B57" s="14">
        <v>48</v>
      </c>
      <c r="C57" s="23" t="s">
        <v>463</v>
      </c>
      <c r="D57" s="24">
        <v>0.2463</v>
      </c>
      <c r="E57" s="15">
        <v>1495389178</v>
      </c>
      <c r="F57" s="15">
        <v>2681607692</v>
      </c>
      <c r="G57" s="14" t="s">
        <v>19</v>
      </c>
      <c r="H57" s="16">
        <v>0.0503312632896945</v>
      </c>
      <c r="I57" s="16">
        <v>0.0845123757088521</v>
      </c>
      <c r="J57" s="14" t="s">
        <v>19</v>
      </c>
    </row>
    <row r="58">
      <c r="B58" s="14">
        <v>49</v>
      </c>
      <c r="C58" s="23" t="s">
        <v>464</v>
      </c>
      <c r="D58" s="24">
        <v>0.2084</v>
      </c>
      <c r="E58" s="15">
        <v>677308476</v>
      </c>
      <c r="F58" s="15">
        <v>271810295</v>
      </c>
      <c r="G58" s="14" t="s">
        <v>20</v>
      </c>
      <c r="H58" s="16">
        <v>0.00217740626819635</v>
      </c>
      <c r="I58" s="16">
        <v>0.000818201611654683</v>
      </c>
      <c r="J58" s="14" t="s">
        <v>20</v>
      </c>
    </row>
    <row r="59">
      <c r="B59" s="14">
        <v>50</v>
      </c>
      <c r="C59" s="23" t="s">
        <v>465</v>
      </c>
      <c r="D59" s="24">
        <v>0.1164</v>
      </c>
      <c r="E59" s="15">
        <v>54152074</v>
      </c>
      <c r="F59" s="15">
        <v>54152074</v>
      </c>
      <c r="G59" s="14" t="s">
        <v>24</v>
      </c>
      <c r="H59" s="16">
        <v>0.00049052331442822</v>
      </c>
      <c r="I59" s="16">
        <v>0.00045930494440113944</v>
      </c>
      <c r="J59" s="14" t="s">
        <v>24</v>
      </c>
    </row>
    <row r="60">
      <c r="B60" s="14">
        <v>51</v>
      </c>
      <c r="C60" s="23" t="s">
        <v>466</v>
      </c>
      <c r="D60" s="24">
        <v>0.4932</v>
      </c>
      <c r="E60" s="15">
        <v>3273317781</v>
      </c>
      <c r="F60" s="15">
        <v>3272654226</v>
      </c>
      <c r="G60" s="14" t="s">
        <v>20</v>
      </c>
      <c r="H60" s="16">
        <v>0.0062208013155433395</v>
      </c>
      <c r="I60" s="16">
        <v>0.0058237101670580993</v>
      </c>
      <c r="J60" s="14" t="s">
        <v>20</v>
      </c>
    </row>
    <row r="61">
      <c r="B61" s="14">
        <v>52</v>
      </c>
      <c r="C61" s="23" t="s">
        <v>467</v>
      </c>
      <c r="D61" s="24">
        <v>0.1393</v>
      </c>
      <c r="E61" s="15">
        <v>57072000</v>
      </c>
      <c r="F61" s="15">
        <v>57113000</v>
      </c>
      <c r="G61" s="14" t="s">
        <v>19</v>
      </c>
      <c r="H61" s="16">
        <v>0.00055751963209532</v>
      </c>
      <c r="I61" s="16">
        <v>0.00052241244688142334</v>
      </c>
      <c r="J61" s="14" t="s">
        <v>20</v>
      </c>
    </row>
    <row r="62">
      <c r="B62" s="14">
        <v>53</v>
      </c>
      <c r="C62" s="23" t="s">
        <v>468</v>
      </c>
      <c r="D62" s="24">
        <v>0.2055</v>
      </c>
      <c r="E62" s="15">
        <v>337280000</v>
      </c>
      <c r="F62" s="15">
        <v>328800000</v>
      </c>
      <c r="G62" s="14" t="s">
        <v>20</v>
      </c>
      <c r="H62" s="16">
        <v>0.00024561157459914996</v>
      </c>
      <c r="I62" s="16">
        <v>0.00022419788883979897</v>
      </c>
      <c r="J62" s="14" t="s">
        <v>24</v>
      </c>
    </row>
    <row r="63">
      <c r="B63" s="14">
        <v>54</v>
      </c>
      <c r="C63" s="23" t="s">
        <v>469</v>
      </c>
      <c r="D63" s="24">
        <v>0.34</v>
      </c>
      <c r="E63" s="15">
        <v>1193892480</v>
      </c>
      <c r="F63" s="15">
        <v>1184832000</v>
      </c>
      <c r="G63" s="14" t="s">
        <v>20</v>
      </c>
      <c r="H63" s="16">
        <v>0.010867595614729799</v>
      </c>
      <c r="I63" s="16">
        <v>0.010098723883433572</v>
      </c>
      <c r="J63" s="14" t="s">
        <v>20</v>
      </c>
    </row>
    <row r="64">
      <c r="B64" s="14">
        <v>55</v>
      </c>
      <c r="C64" s="23" t="s">
        <v>470</v>
      </c>
      <c r="D64" s="24">
        <v>0.1031</v>
      </c>
      <c r="E64" s="15">
        <v>114555647</v>
      </c>
      <c r="F64" s="15">
        <v>114555647</v>
      </c>
      <c r="G64" s="14" t="s">
        <v>24</v>
      </c>
      <c r="H64" s="16">
        <v>0.00015768580097121</v>
      </c>
      <c r="I64" s="16">
        <v>0.00014765020658351539</v>
      </c>
      <c r="J64" s="14" t="s">
        <v>20</v>
      </c>
    </row>
    <row r="65">
      <c r="B65" s="14">
        <v>56</v>
      </c>
      <c r="C65" s="23" t="s">
        <v>471</v>
      </c>
      <c r="D65" s="24">
        <v>0.1001</v>
      </c>
      <c r="E65" s="15">
        <v>1950624676</v>
      </c>
      <c r="F65" s="15">
        <v>1950624676</v>
      </c>
      <c r="G65" s="14" t="s">
        <v>24</v>
      </c>
      <c r="H65" s="16">
        <v>0.00303149007236355</v>
      </c>
      <c r="I65" s="16">
        <v>0.0028385570032436113</v>
      </c>
      <c r="J65" s="14" t="s">
        <v>20</v>
      </c>
    </row>
    <row r="66">
      <c r="B66" s="14">
        <v>57</v>
      </c>
      <c r="C66" s="23" t="s">
        <v>472</v>
      </c>
      <c r="D66" s="24">
        <v>0.2881</v>
      </c>
      <c r="E66" s="15">
        <v>288100000</v>
      </c>
      <c r="F66" s="15">
        <v>288100000</v>
      </c>
      <c r="G66" s="14" t="s">
        <v>24</v>
      </c>
      <c r="H66" s="16">
        <v>0.00013560119463697</v>
      </c>
      <c r="I66" s="16">
        <v>0.00012697113020227076</v>
      </c>
      <c r="J66" s="14" t="s">
        <v>24</v>
      </c>
    </row>
    <row r="67">
      <c r="B67" s="14">
        <v>58</v>
      </c>
      <c r="C67" s="23" t="s">
        <v>473</v>
      </c>
      <c r="D67" s="24">
        <v>0.1835</v>
      </c>
      <c r="E67" s="15">
        <v>1431439460</v>
      </c>
      <c r="F67" s="15">
        <v>1431439460</v>
      </c>
      <c r="G67" s="14" t="s">
        <v>24</v>
      </c>
      <c r="H67" s="16">
        <v>0.00174155798977228</v>
      </c>
      <c r="I67" s="16">
        <v>0.0016307200453962493</v>
      </c>
      <c r="J67" s="14" t="s">
        <v>20</v>
      </c>
    </row>
    <row r="68">
      <c r="B68" s="14">
        <v>59</v>
      </c>
      <c r="C68" s="23" t="s">
        <v>474</v>
      </c>
      <c r="D68" s="24">
        <v>0.6576</v>
      </c>
      <c r="E68" s="15">
        <v>14606739289</v>
      </c>
      <c r="F68" s="15">
        <v>14606739289</v>
      </c>
      <c r="G68" s="14" t="s">
        <v>24</v>
      </c>
      <c r="H68" s="16">
        <v>0.00648586149115915</v>
      </c>
      <c r="I68" s="16">
        <v>0.0060730819227107291</v>
      </c>
      <c r="J68" s="14" t="s">
        <v>20</v>
      </c>
    </row>
    <row r="69">
      <c r="B69" s="14">
        <v>60</v>
      </c>
      <c r="C69" s="23" t="s">
        <v>475</v>
      </c>
      <c r="D69" s="24">
        <v>0.1866</v>
      </c>
      <c r="E69" s="15">
        <v>662430271</v>
      </c>
      <c r="F69" s="15">
        <v>662430271</v>
      </c>
      <c r="G69" s="14" t="s">
        <v>24</v>
      </c>
      <c r="H69" s="16">
        <v>0.00029414032113879</v>
      </c>
      <c r="I69" s="16">
        <v>0.00027542035385333483</v>
      </c>
      <c r="J69" s="14" t="s">
        <v>24</v>
      </c>
    </row>
    <row r="70">
      <c r="B70" s="14">
        <v>61</v>
      </c>
      <c r="C70" s="23" t="s">
        <v>476</v>
      </c>
      <c r="D70" s="24">
        <v>0.1461</v>
      </c>
      <c r="E70" s="15">
        <v>870573375</v>
      </c>
      <c r="F70" s="15">
        <v>870573375</v>
      </c>
      <c r="G70" s="14" t="s">
        <v>24</v>
      </c>
      <c r="H70" s="16">
        <v>0.00035563754230910004</v>
      </c>
      <c r="I70" s="16">
        <v>0.00033300370848675067</v>
      </c>
      <c r="J70" s="14" t="s">
        <v>20</v>
      </c>
    </row>
    <row r="71">
      <c r="B71" s="14">
        <v>62</v>
      </c>
      <c r="C71" s="23" t="s">
        <v>477</v>
      </c>
      <c r="D71" s="24">
        <v>0.2846</v>
      </c>
      <c r="E71" s="15">
        <v>1310657679</v>
      </c>
      <c r="F71" s="15">
        <v>1310657679</v>
      </c>
      <c r="G71" s="14" t="s">
        <v>24</v>
      </c>
      <c r="H71" s="16">
        <v>0.030262653971337202</v>
      </c>
      <c r="I71" s="16">
        <v>0.028336648420136081</v>
      </c>
      <c r="J71" s="14" t="s">
        <v>20</v>
      </c>
    </row>
    <row r="72">
      <c r="B72" s="14">
        <v>63</v>
      </c>
      <c r="C72" s="23" t="s">
        <v>478</v>
      </c>
      <c r="D72" s="24">
        <v>0.5913</v>
      </c>
      <c r="E72" s="15">
        <v>20680800000</v>
      </c>
      <c r="F72" s="15">
        <v>19867680000</v>
      </c>
      <c r="G72" s="14" t="s">
        <v>20</v>
      </c>
      <c r="H72" s="16">
        <v>0.00918293957826553</v>
      </c>
      <c r="I72" s="16">
        <v>0.00826043690312277</v>
      </c>
      <c r="J72" s="14" t="s">
        <v>20</v>
      </c>
    </row>
    <row r="73">
      <c r="B73" s="14">
        <v>64</v>
      </c>
      <c r="C73" s="23" t="s">
        <v>479</v>
      </c>
      <c r="D73" s="24">
        <v>0.0851</v>
      </c>
      <c r="E73" s="15">
        <v>444964022</v>
      </c>
      <c r="F73" s="15">
        <v>339914167</v>
      </c>
      <c r="G73" s="14" t="s">
        <v>20</v>
      </c>
      <c r="H73" s="16">
        <v>0.0039713242400397</v>
      </c>
      <c r="I73" s="16">
        <v>0.0028406726201585086</v>
      </c>
      <c r="J73" s="14" t="s">
        <v>20</v>
      </c>
    </row>
    <row r="74">
      <c r="B74" s="14">
        <v>65</v>
      </c>
      <c r="C74" s="23" t="s">
        <v>480</v>
      </c>
      <c r="D74" s="24">
        <v>0.0765</v>
      </c>
      <c r="E74" s="15">
        <v>50057906</v>
      </c>
      <c r="F74" s="15">
        <v>50057906</v>
      </c>
      <c r="G74" s="14" t="s">
        <v>24</v>
      </c>
      <c r="H74" s="16">
        <v>0.00124028436630388</v>
      </c>
      <c r="I74" s="16">
        <v>0.0011613489606741036</v>
      </c>
      <c r="J74" s="14" t="s">
        <v>24</v>
      </c>
    </row>
    <row r="75" s="7" customFormat="1">
      <c r="B75" s="14">
        <v>66</v>
      </c>
      <c r="C75" s="23" t="s">
        <v>481</v>
      </c>
      <c r="D75" s="24">
        <v>0.0841</v>
      </c>
      <c r="E75" s="15">
        <v>510562274</v>
      </c>
      <c r="F75" s="15">
        <v>551906006</v>
      </c>
      <c r="G75" s="14" t="s">
        <v>19</v>
      </c>
      <c r="H75" s="16">
        <v>0.0019133990759751902</v>
      </c>
      <c r="I75" s="16">
        <v>0.0019367047992003422</v>
      </c>
      <c r="J75" s="14" t="s">
        <v>24</v>
      </c>
      <c r="K75" s="6"/>
      <c r="L75" s="6"/>
      <c r="M75" s="6"/>
      <c r="N75" s="6"/>
      <c r="O75" s="6"/>
      <c r="P75" s="6"/>
      <c r="Q75" s="6"/>
    </row>
    <row r="76" s="7" customFormat="1">
      <c r="B76" s="14">
        <v>67</v>
      </c>
      <c r="C76" s="23" t="s">
        <v>482</v>
      </c>
      <c r="D76" s="24">
        <v>0.1856</v>
      </c>
      <c r="E76" s="15">
        <v>332893652</v>
      </c>
      <c r="F76" s="15">
        <v>335605985</v>
      </c>
      <c r="G76" s="14" t="s">
        <v>19</v>
      </c>
      <c r="H76" s="16">
        <v>0.00036066976099678</v>
      </c>
      <c r="I76" s="16">
        <v>0.00034046728291612434</v>
      </c>
      <c r="J76" s="14" t="s">
        <v>20</v>
      </c>
      <c r="K76" s="6"/>
      <c r="L76" s="6"/>
      <c r="M76" s="6"/>
      <c r="N76" s="6"/>
      <c r="O76" s="6"/>
      <c r="P76" s="6"/>
      <c r="Q76" s="6"/>
    </row>
    <row r="77">
      <c r="B77" s="14">
        <v>68</v>
      </c>
      <c r="C77" s="23" t="s">
        <v>483</v>
      </c>
      <c r="D77" s="24">
        <v>0.3669</v>
      </c>
      <c r="E77" s="15">
        <v>15478208368</v>
      </c>
      <c r="F77" s="15">
        <v>15482428164</v>
      </c>
      <c r="G77" s="14" t="s">
        <v>19</v>
      </c>
      <c r="H77" s="16">
        <v>0.00536080097162853</v>
      </c>
      <c r="I77" s="16">
        <v>0.00502099210087685</v>
      </c>
      <c r="J77" s="14" t="s">
        <v>20</v>
      </c>
      <c r="Q77" s="7"/>
    </row>
    <row r="78">
      <c r="B78" s="14">
        <v>69</v>
      </c>
      <c r="C78" s="23" t="s">
        <v>484</v>
      </c>
      <c r="D78" s="24">
        <v>0.3429</v>
      </c>
      <c r="E78" s="15">
        <v>7747853117</v>
      </c>
      <c r="F78" s="15">
        <v>7743336735</v>
      </c>
      <c r="G78" s="14" t="s">
        <v>20</v>
      </c>
      <c r="H78" s="16">
        <v>0.00378432525522011</v>
      </c>
      <c r="I78" s="16">
        <v>0.0035414139431870495</v>
      </c>
      <c r="J78" s="14" t="s">
        <v>20</v>
      </c>
      <c r="K78" s="7"/>
      <c r="L78" s="7"/>
      <c r="M78" s="7"/>
      <c r="N78" s="7"/>
      <c r="O78" s="7"/>
      <c r="P78" s="7"/>
      <c r="Q78" s="7"/>
    </row>
    <row r="79">
      <c r="B79" s="14">
        <v>70</v>
      </c>
      <c r="C79" s="23" t="s">
        <v>485</v>
      </c>
      <c r="D79" s="24">
        <v>0.2363</v>
      </c>
      <c r="E79" s="15">
        <v>550352266</v>
      </c>
      <c r="F79" s="15">
        <v>550352266</v>
      </c>
      <c r="G79" s="14" t="s">
        <v>24</v>
      </c>
      <c r="H79" s="16">
        <v>0.00251705308963034</v>
      </c>
      <c r="I79" s="16">
        <v>0.0023568603238714311</v>
      </c>
      <c r="J79" s="14" t="s">
        <v>20</v>
      </c>
      <c r="K79" s="7"/>
      <c r="L79" s="7"/>
      <c r="M79" s="7"/>
      <c r="N79" s="7"/>
      <c r="O79" s="7"/>
      <c r="P79" s="7"/>
    </row>
    <row r="80">
      <c r="B80" s="14">
        <v>71</v>
      </c>
      <c r="C80" s="23" t="s">
        <v>486</v>
      </c>
      <c r="D80" s="24">
        <v>0.0838</v>
      </c>
      <c r="E80" s="15">
        <v>191295720</v>
      </c>
      <c r="F80" s="15">
        <v>194310077</v>
      </c>
      <c r="G80" s="14" t="s">
        <v>19</v>
      </c>
      <c r="H80" s="16">
        <v>0.0021320302726371403</v>
      </c>
      <c r="I80" s="16">
        <v>0.0020277990102059336</v>
      </c>
      <c r="J80" s="14" t="s">
        <v>20</v>
      </c>
    </row>
    <row r="81">
      <c r="B81" s="14">
        <v>72</v>
      </c>
      <c r="C81" s="23" t="s">
        <v>487</v>
      </c>
      <c r="D81" s="24">
        <v>0.2168</v>
      </c>
      <c r="E81" s="15">
        <v>450033440</v>
      </c>
      <c r="F81" s="15">
        <v>450033440</v>
      </c>
      <c r="G81" s="14" t="s">
        <v>24</v>
      </c>
      <c r="H81" s="16">
        <v>0.0003796756792129</v>
      </c>
      <c r="I81" s="16">
        <v>0.00035551198666824941</v>
      </c>
      <c r="J81" s="14" t="s">
        <v>24</v>
      </c>
    </row>
    <row r="82">
      <c r="B82" s="14">
        <v>73</v>
      </c>
      <c r="C82" s="23" t="s">
        <v>488</v>
      </c>
      <c r="D82" s="24">
        <v>0.1215</v>
      </c>
      <c r="E82" s="15">
        <v>125502339</v>
      </c>
      <c r="F82" s="15">
        <v>151877831</v>
      </c>
      <c r="G82" s="14" t="s">
        <v>19</v>
      </c>
      <c r="H82" s="16">
        <v>0.00098636914474457</v>
      </c>
      <c r="I82" s="16">
        <v>0.0011176955288402337</v>
      </c>
      <c r="J82" s="14" t="s">
        <v>19</v>
      </c>
    </row>
    <row r="83">
      <c r="B83" s="14">
        <v>74</v>
      </c>
      <c r="C83" s="23" t="s">
        <v>489</v>
      </c>
      <c r="D83" s="24">
        <v>0.1887</v>
      </c>
      <c r="E83" s="15">
        <v>52053600</v>
      </c>
      <c r="F83" s="15">
        <v>52081200</v>
      </c>
      <c r="G83" s="14" t="s">
        <v>19</v>
      </c>
      <c r="H83" s="16">
        <v>7.997260841766E-05</v>
      </c>
      <c r="I83" s="16">
        <v>7.49226177328533E-05</v>
      </c>
      <c r="J83" s="14" t="s">
        <v>24</v>
      </c>
    </row>
    <row r="84">
      <c r="B84" s="14">
        <v>75</v>
      </c>
      <c r="C84" s="23" t="s">
        <v>490</v>
      </c>
      <c r="D84" s="24">
        <v>0.5922</v>
      </c>
      <c r="E84" s="15">
        <v>6345639936</v>
      </c>
      <c r="F84" s="15">
        <v>6245451172</v>
      </c>
      <c r="G84" s="14" t="s">
        <v>20</v>
      </c>
      <c r="H84" s="16">
        <v>0.00315578814609893</v>
      </c>
      <c r="I84" s="16">
        <v>0.0029082899452580291</v>
      </c>
      <c r="J84" s="14" t="s">
        <v>20</v>
      </c>
    </row>
    <row r="85">
      <c r="B85" s="14">
        <v>76</v>
      </c>
      <c r="C85" s="23" t="s">
        <v>491</v>
      </c>
      <c r="D85" s="24">
        <v>0.6447</v>
      </c>
      <c r="E85" s="15">
        <v>47396473383</v>
      </c>
      <c r="F85" s="15">
        <v>64378168457</v>
      </c>
      <c r="G85" s="14" t="s">
        <v>19</v>
      </c>
      <c r="H85" s="16">
        <v>0.0416702024859744</v>
      </c>
      <c r="I85" s="16">
        <v>0.052998022969134168</v>
      </c>
      <c r="J85" s="14" t="s">
        <v>19</v>
      </c>
    </row>
    <row r="86">
      <c r="B86" s="14">
        <v>77</v>
      </c>
      <c r="C86" s="23" t="s">
        <v>492</v>
      </c>
      <c r="D86" s="24">
        <v>0.2086</v>
      </c>
      <c r="E86" s="15">
        <v>958100846</v>
      </c>
      <c r="F86" s="15">
        <v>958100846</v>
      </c>
      <c r="G86" s="14" t="s">
        <v>24</v>
      </c>
      <c r="H86" s="16">
        <v>0.0016591674643602798</v>
      </c>
      <c r="I86" s="16">
        <v>0.001553573098608426</v>
      </c>
      <c r="J86" s="14" t="s">
        <v>20</v>
      </c>
    </row>
    <row r="87">
      <c r="B87" s="14">
        <v>78</v>
      </c>
      <c r="C87" s="23" t="s">
        <v>493</v>
      </c>
      <c r="D87" s="24">
        <v>0.0758</v>
      </c>
      <c r="E87" s="15">
        <v>76445639</v>
      </c>
      <c r="F87" s="15">
        <v>76445639</v>
      </c>
      <c r="G87" s="14" t="s">
        <v>24</v>
      </c>
      <c r="H87" s="16">
        <v>9.5722981159530009E-05</v>
      </c>
      <c r="I87" s="16">
        <v>8.9630885524380515E-05</v>
      </c>
      <c r="J87" s="14" t="s">
        <v>24</v>
      </c>
    </row>
    <row r="88">
      <c r="B88" s="14">
        <v>79</v>
      </c>
      <c r="C88" s="23" t="s">
        <v>494</v>
      </c>
      <c r="D88" s="24">
        <v>0.1743</v>
      </c>
      <c r="E88" s="15">
        <v>74077500</v>
      </c>
      <c r="F88" s="15">
        <v>74077500</v>
      </c>
      <c r="G88" s="14" t="s">
        <v>24</v>
      </c>
      <c r="H88" s="16">
        <v>0.00028682512676638</v>
      </c>
      <c r="I88" s="16">
        <v>0.00026857072029075324</v>
      </c>
      <c r="J88" s="14" t="s">
        <v>24</v>
      </c>
    </row>
    <row r="89">
      <c r="B89" s="14">
        <v>80</v>
      </c>
      <c r="C89" s="23" t="s">
        <v>495</v>
      </c>
      <c r="D89" s="24">
        <v>0.4681</v>
      </c>
      <c r="E89" s="15">
        <v>1057100531</v>
      </c>
      <c r="F89" s="15">
        <v>1057100531</v>
      </c>
      <c r="G89" s="14" t="s">
        <v>24</v>
      </c>
      <c r="H89" s="16">
        <v>0.0169448560977403</v>
      </c>
      <c r="I89" s="16">
        <v>0.015866434919985954</v>
      </c>
      <c r="J89" s="14" t="s">
        <v>20</v>
      </c>
    </row>
    <row r="90">
      <c r="B90" s="14">
        <v>81</v>
      </c>
      <c r="C90" s="23" t="s">
        <v>496</v>
      </c>
      <c r="D90" s="24">
        <v>0.7192</v>
      </c>
      <c r="E90" s="15">
        <v>11050673353</v>
      </c>
      <c r="F90" s="15">
        <v>11050673353</v>
      </c>
      <c r="G90" s="14" t="s">
        <v>24</v>
      </c>
      <c r="H90" s="16">
        <v>0.0049068539756560595</v>
      </c>
      <c r="I90" s="16">
        <v>0.0045945671546493809</v>
      </c>
      <c r="J90" s="14" t="s">
        <v>20</v>
      </c>
    </row>
    <row r="91">
      <c r="B91" s="14">
        <v>82</v>
      </c>
      <c r="C91" s="23" t="s">
        <v>497</v>
      </c>
      <c r="D91" s="24">
        <v>0.307</v>
      </c>
      <c r="E91" s="15">
        <v>8750728000</v>
      </c>
      <c r="F91" s="15">
        <v>8750728000</v>
      </c>
      <c r="G91" s="14" t="s">
        <v>24</v>
      </c>
      <c r="H91" s="16">
        <v>0.0466272522280587</v>
      </c>
      <c r="I91" s="16">
        <v>0.043659754838243643</v>
      </c>
      <c r="J91" s="14" t="s">
        <v>20</v>
      </c>
    </row>
    <row r="92">
      <c r="B92" s="14">
        <v>83</v>
      </c>
      <c r="C92" s="23" t="s">
        <v>498</v>
      </c>
      <c r="D92" s="24">
        <v>0.0788</v>
      </c>
      <c r="E92" s="15">
        <v>188168325</v>
      </c>
      <c r="F92" s="15">
        <v>188168325</v>
      </c>
      <c r="G92" s="14" t="s">
        <v>24</v>
      </c>
      <c r="H92" s="16">
        <v>0.0025316492726712</v>
      </c>
      <c r="I92" s="16">
        <v>0.0023705275566886929</v>
      </c>
      <c r="J92" s="14" t="s">
        <v>20</v>
      </c>
    </row>
    <row r="93">
      <c r="B93" s="14">
        <v>84</v>
      </c>
      <c r="C93" s="23" t="s">
        <v>499</v>
      </c>
      <c r="D93" s="24">
        <v>0.49</v>
      </c>
      <c r="E93" s="15">
        <v>8134000000</v>
      </c>
      <c r="F93" s="15">
        <v>8134000000</v>
      </c>
      <c r="G93" s="14" t="s">
        <v>24</v>
      </c>
      <c r="H93" s="16">
        <v>0.0780139578468732</v>
      </c>
      <c r="I93" s="16">
        <v>0.073048916905849762</v>
      </c>
      <c r="J93" s="14" t="s">
        <v>20</v>
      </c>
    </row>
    <row r="94">
      <c r="B94" s="14">
        <v>85</v>
      </c>
      <c r="C94" s="23" t="s">
        <v>500</v>
      </c>
      <c r="D94" s="24">
        <v>0.4327</v>
      </c>
      <c r="E94" s="15">
        <v>2272819059</v>
      </c>
      <c r="F94" s="15">
        <v>2272819059</v>
      </c>
      <c r="G94" s="14" t="s">
        <v>24</v>
      </c>
      <c r="H94" s="16">
        <v>0.00058533871285704</v>
      </c>
      <c r="I94" s="16">
        <v>0.00054808601144727123</v>
      </c>
      <c r="J94" s="14" t="s">
        <v>20</v>
      </c>
    </row>
    <row r="95">
      <c r="B95" s="14">
        <v>86</v>
      </c>
      <c r="C95" s="23" t="s">
        <v>501</v>
      </c>
      <c r="D95" s="24">
        <v>0.0999</v>
      </c>
      <c r="E95" s="15">
        <v>3921553840</v>
      </c>
      <c r="F95" s="15">
        <v>3917632286</v>
      </c>
      <c r="G95" s="14" t="s">
        <v>20</v>
      </c>
      <c r="H95" s="16">
        <v>0.0018805995572166402</v>
      </c>
      <c r="I95" s="16">
        <v>0.0017591516802272934</v>
      </c>
      <c r="J95" s="14" t="s">
        <v>20</v>
      </c>
    </row>
    <row r="96">
      <c r="B96" s="14">
        <v>87</v>
      </c>
      <c r="C96" s="23" t="s">
        <v>502</v>
      </c>
      <c r="D96" s="24">
        <v>0.1765</v>
      </c>
      <c r="E96" s="15">
        <v>4108552935</v>
      </c>
      <c r="F96" s="15">
        <v>4446104188</v>
      </c>
      <c r="G96" s="14" t="s">
        <v>19</v>
      </c>
      <c r="H96" s="16">
        <v>0.0328379308543088</v>
      </c>
      <c r="I96" s="16">
        <v>0.033274229098430724</v>
      </c>
      <c r="J96" s="14" t="s">
        <v>19</v>
      </c>
    </row>
    <row r="97">
      <c r="B97" s="14">
        <v>88</v>
      </c>
      <c r="C97" s="23" t="s">
        <v>503</v>
      </c>
      <c r="D97" s="24">
        <v>0.2272</v>
      </c>
      <c r="E97" s="15">
        <v>235182104</v>
      </c>
      <c r="F97" s="15">
        <v>235182104</v>
      </c>
      <c r="G97" s="14" t="s">
        <v>24</v>
      </c>
      <c r="H97" s="16">
        <v>0.00026107102371782</v>
      </c>
      <c r="I97" s="16">
        <v>0.0002444556851675255</v>
      </c>
      <c r="J97" s="14" t="s">
        <v>20</v>
      </c>
    </row>
    <row r="98">
      <c r="B98" s="14">
        <v>89</v>
      </c>
      <c r="C98" s="23" t="s">
        <v>504</v>
      </c>
      <c r="D98" s="24">
        <v>0.215</v>
      </c>
      <c r="E98" s="15">
        <v>836263368</v>
      </c>
      <c r="F98" s="15">
        <v>733361630</v>
      </c>
      <c r="G98" s="14" t="s">
        <v>20</v>
      </c>
      <c r="H98" s="16">
        <v>0.0013739128624368998</v>
      </c>
      <c r="I98" s="16">
        <v>0.0011281731758206661</v>
      </c>
      <c r="J98" s="14" t="s">
        <v>20</v>
      </c>
    </row>
    <row r="99">
      <c r="B99" s="14">
        <v>90</v>
      </c>
      <c r="C99" s="23" t="s">
        <v>505</v>
      </c>
      <c r="D99" s="24">
        <v>0.3089</v>
      </c>
      <c r="E99" s="15">
        <v>188820000</v>
      </c>
      <c r="F99" s="15">
        <v>185340000</v>
      </c>
      <c r="G99" s="14" t="s">
        <v>20</v>
      </c>
      <c r="H99" s="16">
        <v>0.00083842145911575</v>
      </c>
      <c r="I99" s="16">
        <v>0.00077059293064151129</v>
      </c>
      <c r="J99" s="14" t="s">
        <v>24</v>
      </c>
    </row>
    <row r="100">
      <c r="B100" s="14">
        <v>91</v>
      </c>
      <c r="C100" s="23" t="s">
        <v>506</v>
      </c>
      <c r="D100" s="24">
        <v>0.4451</v>
      </c>
      <c r="E100" s="15">
        <v>4381453125</v>
      </c>
      <c r="F100" s="15">
        <v>4381453125</v>
      </c>
      <c r="G100" s="14" t="s">
        <v>24</v>
      </c>
      <c r="H100" s="16">
        <v>0.009104967814571369</v>
      </c>
      <c r="I100" s="16">
        <v>0.00852550050880053</v>
      </c>
      <c r="J100" s="14" t="s">
        <v>20</v>
      </c>
    </row>
    <row r="101">
      <c r="B101" s="14">
        <v>92</v>
      </c>
      <c r="C101" s="23" t="s">
        <v>507</v>
      </c>
      <c r="D101" s="24">
        <v>0.6611</v>
      </c>
      <c r="E101" s="15">
        <v>3636050000</v>
      </c>
      <c r="F101" s="15">
        <v>3636050000</v>
      </c>
      <c r="G101" s="14" t="s">
        <v>24</v>
      </c>
      <c r="H101" s="16">
        <v>3.229046018873E-05</v>
      </c>
      <c r="I101" s="16">
        <v>3.0235399001392758E-05</v>
      </c>
      <c r="J101" s="14" t="s">
        <v>24</v>
      </c>
    </row>
    <row r="102">
      <c r="B102" s="14">
        <v>93</v>
      </c>
      <c r="C102" s="23" t="s">
        <v>508</v>
      </c>
      <c r="D102" s="24">
        <v>0.4727</v>
      </c>
      <c r="E102" s="15">
        <v>7114034651</v>
      </c>
      <c r="F102" s="15">
        <v>7114034651</v>
      </c>
      <c r="G102" s="14" t="s">
        <v>24</v>
      </c>
      <c r="H102" s="16">
        <v>0.0128881484981194</v>
      </c>
      <c r="I102" s="16">
        <v>0.012067908290121287</v>
      </c>
      <c r="J102" s="14" t="s">
        <v>20</v>
      </c>
    </row>
    <row r="103">
      <c r="B103" s="14">
        <v>94</v>
      </c>
      <c r="C103" s="23" t="s">
        <v>509</v>
      </c>
      <c r="D103" s="24">
        <v>0.3361</v>
      </c>
      <c r="E103" s="15">
        <v>1474458357</v>
      </c>
      <c r="F103" s="15">
        <v>1474458357</v>
      </c>
      <c r="G103" s="14" t="s">
        <v>24</v>
      </c>
      <c r="H103" s="16">
        <v>0.01302866687264</v>
      </c>
      <c r="I103" s="16">
        <v>0.012199483657560319</v>
      </c>
      <c r="J103" s="14" t="s">
        <v>20</v>
      </c>
    </row>
    <row r="104">
      <c r="B104" s="14">
        <v>95</v>
      </c>
      <c r="C104" s="23" t="s">
        <v>510</v>
      </c>
      <c r="D104" s="24">
        <v>0.2788</v>
      </c>
      <c r="E104" s="15">
        <v>16795166127</v>
      </c>
      <c r="F104" s="15">
        <v>16916518484</v>
      </c>
      <c r="G104" s="14" t="s">
        <v>19</v>
      </c>
      <c r="H104" s="16">
        <v>0.0742776293799893</v>
      </c>
      <c r="I104" s="16">
        <v>0.070052911170147822</v>
      </c>
      <c r="J104" s="14" t="s">
        <v>20</v>
      </c>
    </row>
    <row r="105">
      <c r="B105" s="14">
        <v>96</v>
      </c>
      <c r="C105" s="23" t="s">
        <v>511</v>
      </c>
      <c r="D105" s="24">
        <v>0.4052</v>
      </c>
      <c r="E105" s="15">
        <v>808118918</v>
      </c>
      <c r="F105" s="15">
        <v>808118918</v>
      </c>
      <c r="G105" s="14" t="s">
        <v>24</v>
      </c>
      <c r="H105" s="16">
        <v>0.00050236306499102</v>
      </c>
      <c r="I105" s="16">
        <v>0.0004703911816094495</v>
      </c>
      <c r="J105" s="14" t="s">
        <v>24</v>
      </c>
    </row>
    <row r="106">
      <c r="B106" s="14">
        <v>97</v>
      </c>
      <c r="C106" s="23" t="s">
        <v>512</v>
      </c>
      <c r="D106" s="24">
        <v>0.0761</v>
      </c>
      <c r="E106" s="15">
        <v>437721430</v>
      </c>
      <c r="F106" s="15">
        <v>589568156</v>
      </c>
      <c r="G106" s="14" t="s">
        <v>19</v>
      </c>
      <c r="H106" s="16">
        <v>0.00025267108994539</v>
      </c>
      <c r="I106" s="16">
        <v>0.00031866416823562207</v>
      </c>
      <c r="J106" s="14" t="s">
        <v>24</v>
      </c>
    </row>
    <row r="107">
      <c r="B107" s="14">
        <v>98</v>
      </c>
      <c r="C107" s="23" t="s">
        <v>513</v>
      </c>
      <c r="D107" s="24">
        <v>0.6246</v>
      </c>
      <c r="E107" s="15">
        <v>3357266387</v>
      </c>
      <c r="F107" s="15">
        <v>4997494245</v>
      </c>
      <c r="G107" s="14" t="s">
        <v>19</v>
      </c>
      <c r="H107" s="16">
        <v>0.017888809550866202</v>
      </c>
      <c r="I107" s="16">
        <v>0.024933853910169251</v>
      </c>
      <c r="J107" s="14" t="s">
        <v>19</v>
      </c>
    </row>
    <row r="108">
      <c r="B108" s="14">
        <v>99</v>
      </c>
      <c r="C108" s="23" t="s">
        <v>514</v>
      </c>
      <c r="D108" s="24">
        <v>0.1195</v>
      </c>
      <c r="E108" s="15">
        <v>4942581868</v>
      </c>
      <c r="F108" s="15">
        <v>4942581868</v>
      </c>
      <c r="G108" s="14" t="s">
        <v>24</v>
      </c>
      <c r="H108" s="16">
        <v>0.00333589100009679</v>
      </c>
      <c r="I108" s="16">
        <v>0.0031235849479711174</v>
      </c>
      <c r="J108" s="14" t="s">
        <v>20</v>
      </c>
    </row>
    <row r="109">
      <c r="B109" s="14">
        <v>100</v>
      </c>
      <c r="C109" s="23" t="s">
        <v>515</v>
      </c>
      <c r="D109" s="24">
        <v>0.8071</v>
      </c>
      <c r="E109" s="15">
        <v>6214670119</v>
      </c>
      <c r="F109" s="15">
        <v>6214670119</v>
      </c>
      <c r="G109" s="14" t="s">
        <v>24</v>
      </c>
      <c r="H109" s="16">
        <v>0.00275951318138705</v>
      </c>
      <c r="I109" s="16">
        <v>0.0025838895329221017</v>
      </c>
      <c r="J109" s="14" t="s">
        <v>20</v>
      </c>
    </row>
    <row r="110">
      <c r="B110" s="14">
        <v>101</v>
      </c>
      <c r="C110" s="23" t="s">
        <v>516</v>
      </c>
      <c r="D110" s="24">
        <v>0.1514</v>
      </c>
      <c r="E110" s="15">
        <v>278055000</v>
      </c>
      <c r="F110" s="15">
        <v>210067500</v>
      </c>
      <c r="G110" s="14" t="s">
        <v>20</v>
      </c>
      <c r="H110" s="16">
        <v>0.00132107927301896</v>
      </c>
      <c r="I110" s="16">
        <v>0.00093454131644309471</v>
      </c>
      <c r="J110" s="14" t="s">
        <v>20</v>
      </c>
    </row>
    <row r="111">
      <c r="B111" s="14">
        <v>102</v>
      </c>
      <c r="C111" s="23" t="s">
        <v>517</v>
      </c>
      <c r="D111" s="24">
        <v>0.2743</v>
      </c>
      <c r="E111" s="15">
        <v>694290318</v>
      </c>
      <c r="F111" s="15">
        <v>771310731</v>
      </c>
      <c r="G111" s="14" t="s">
        <v>19</v>
      </c>
      <c r="H111" s="16">
        <v>0.00072755780503299</v>
      </c>
      <c r="I111" s="16">
        <v>0.0007568280821895454</v>
      </c>
      <c r="J111" s="14" t="s">
        <v>19</v>
      </c>
    </row>
    <row r="112">
      <c r="B112" s="14">
        <v>103</v>
      </c>
      <c r="C112" s="23" t="s">
        <v>518</v>
      </c>
      <c r="D112" s="24">
        <v>0.5067</v>
      </c>
      <c r="E112" s="15">
        <v>10884943712</v>
      </c>
      <c r="F112" s="15">
        <v>10884943712</v>
      </c>
      <c r="G112" s="14" t="s">
        <v>24</v>
      </c>
      <c r="H112" s="16">
        <v>0.00367328116510431</v>
      </c>
      <c r="I112" s="16">
        <v>0.0034395025968856248</v>
      </c>
      <c r="J112" s="14" t="s">
        <v>20</v>
      </c>
    </row>
    <row r="113">
      <c r="B113" s="14">
        <v>104</v>
      </c>
      <c r="C113" s="23" t="s">
        <v>519</v>
      </c>
      <c r="D113" s="24">
        <v>0.1081</v>
      </c>
      <c r="E113" s="15">
        <v>129844000</v>
      </c>
      <c r="F113" s="15">
        <v>77291500</v>
      </c>
      <c r="G113" s="14" t="s">
        <v>20</v>
      </c>
      <c r="H113" s="16">
        <v>0.000605376526503</v>
      </c>
      <c r="I113" s="16">
        <v>0.000337424720371276</v>
      </c>
      <c r="J113" s="14" t="s">
        <v>20</v>
      </c>
    </row>
    <row r="114">
      <c r="B114" s="14">
        <v>105</v>
      </c>
      <c r="C114" s="23" t="s">
        <v>520</v>
      </c>
      <c r="D114" s="24">
        <v>0.1759</v>
      </c>
      <c r="E114" s="15">
        <v>85741600</v>
      </c>
      <c r="F114" s="15">
        <v>85839200</v>
      </c>
      <c r="G114" s="14" t="s">
        <v>19</v>
      </c>
      <c r="H114" s="16">
        <v>0.00015837962350190998</v>
      </c>
      <c r="I114" s="16">
        <v>0.00014846868224797609</v>
      </c>
      <c r="J114" s="14" t="s">
        <v>20</v>
      </c>
    </row>
    <row r="115">
      <c r="B115" s="14">
        <v>106</v>
      </c>
      <c r="C115" s="23" t="s">
        <v>521</v>
      </c>
      <c r="D115" s="24">
        <v>0.0828</v>
      </c>
      <c r="E115" s="15">
        <v>132480000</v>
      </c>
      <c r="F115" s="15">
        <v>132480000</v>
      </c>
      <c r="G115" s="14" t="s">
        <v>24</v>
      </c>
      <c r="H115" s="16">
        <v>0.00061766644766888</v>
      </c>
      <c r="I115" s="16">
        <v>0.00057835631140593178</v>
      </c>
      <c r="J115" s="14" t="s">
        <v>24</v>
      </c>
    </row>
    <row r="116">
      <c r="B116" s="14">
        <v>107</v>
      </c>
      <c r="C116" s="23" t="s">
        <v>522</v>
      </c>
      <c r="D116" s="24">
        <v>0.075</v>
      </c>
      <c r="E116" s="15">
        <v>1031670000</v>
      </c>
      <c r="F116" s="15">
        <v>1031670000</v>
      </c>
      <c r="G116" s="14" t="s">
        <v>24</v>
      </c>
      <c r="H116" s="16">
        <v>0.0009894843851965</v>
      </c>
      <c r="I116" s="16">
        <v>0.00092651064795006162</v>
      </c>
      <c r="J116" s="14" t="s">
        <v>20</v>
      </c>
    </row>
    <row r="117">
      <c r="B117" s="14">
        <v>108</v>
      </c>
      <c r="C117" s="23" t="s">
        <v>523</v>
      </c>
      <c r="D117" s="24">
        <v>0.2</v>
      </c>
      <c r="E117" s="15">
        <v>1160000000</v>
      </c>
      <c r="F117" s="15">
        <v>1160000000</v>
      </c>
      <c r="G117" s="14" t="s">
        <v>24</v>
      </c>
      <c r="H117" s="16">
        <v>0.00097864680430628011</v>
      </c>
      <c r="I117" s="16">
        <v>0.00091636280302896883</v>
      </c>
      <c r="J117" s="14" t="s">
        <v>20</v>
      </c>
    </row>
    <row r="118">
      <c r="B118" s="14">
        <v>109</v>
      </c>
      <c r="C118" s="23" t="s">
        <v>524</v>
      </c>
      <c r="D118" s="24">
        <v>0.0789</v>
      </c>
      <c r="E118" s="15">
        <v>62947485</v>
      </c>
      <c r="F118" s="15">
        <v>62947485</v>
      </c>
      <c r="G118" s="14" t="s">
        <v>24</v>
      </c>
      <c r="H118" s="16">
        <v>0.00039130987771377005</v>
      </c>
      <c r="I118" s="16">
        <v>0.00036640574911553543</v>
      </c>
      <c r="J118" s="14" t="s">
        <v>24</v>
      </c>
    </row>
    <row r="119">
      <c r="B119" s="14">
        <v>110</v>
      </c>
      <c r="C119" s="23" t="s">
        <v>525</v>
      </c>
      <c r="D119" s="24">
        <v>0.1145</v>
      </c>
      <c r="E119" s="15">
        <v>85875000</v>
      </c>
      <c r="F119" s="15">
        <v>85875000</v>
      </c>
      <c r="G119" s="14" t="s">
        <v>24</v>
      </c>
      <c r="H119" s="16">
        <v>0.010810211860101499</v>
      </c>
      <c r="I119" s="16">
        <v>0.010122217737666493</v>
      </c>
      <c r="J119" s="14" t="s">
        <v>20</v>
      </c>
    </row>
    <row r="120">
      <c r="B120" s="14">
        <v>111</v>
      </c>
      <c r="C120" s="23" t="s">
        <v>526</v>
      </c>
      <c r="D120" s="24">
        <v>0.3157</v>
      </c>
      <c r="E120" s="15">
        <v>787909328</v>
      </c>
      <c r="F120" s="15">
        <v>787909328</v>
      </c>
      <c r="G120" s="14" t="s">
        <v>24</v>
      </c>
      <c r="H120" s="16">
        <v>0.00023090565531488</v>
      </c>
      <c r="I120" s="16">
        <v>0.00021621013064776145</v>
      </c>
      <c r="J120" s="14" t="s">
        <v>24</v>
      </c>
    </row>
    <row r="121">
      <c r="B121" s="14">
        <v>112</v>
      </c>
      <c r="C121" s="23" t="s">
        <v>527</v>
      </c>
      <c r="D121" s="24">
        <v>0.1978</v>
      </c>
      <c r="E121" s="15">
        <v>2047473618</v>
      </c>
      <c r="F121" s="15">
        <v>2047473618</v>
      </c>
      <c r="G121" s="14" t="s">
        <v>24</v>
      </c>
      <c r="H121" s="16">
        <v>0.00436389149870877</v>
      </c>
      <c r="I121" s="16">
        <v>0.0040861604283539722</v>
      </c>
      <c r="J121" s="14" t="s">
        <v>20</v>
      </c>
    </row>
    <row r="122">
      <c r="B122" s="14">
        <v>113</v>
      </c>
      <c r="C122" s="23" t="s">
        <v>528</v>
      </c>
      <c r="D122" s="24">
        <v>0.2732</v>
      </c>
      <c r="E122" s="15">
        <v>60413069</v>
      </c>
      <c r="F122" s="15">
        <v>60324746</v>
      </c>
      <c r="G122" s="14" t="s">
        <v>20</v>
      </c>
      <c r="H122" s="16">
        <v>0.00050431645644531</v>
      </c>
      <c r="I122" s="16">
        <v>0.00047152987106918265</v>
      </c>
      <c r="J122" s="14" t="s">
        <v>24</v>
      </c>
    </row>
    <row r="123">
      <c r="B123" s="14">
        <v>114</v>
      </c>
      <c r="C123" s="23" t="s">
        <v>529</v>
      </c>
      <c r="D123" s="24">
        <v>0.177</v>
      </c>
      <c r="E123" s="15">
        <v>534871875</v>
      </c>
      <c r="F123" s="15">
        <v>534871875</v>
      </c>
      <c r="G123" s="14" t="s">
        <v>24</v>
      </c>
      <c r="H123" s="16">
        <v>0.00091675114045496</v>
      </c>
      <c r="I123" s="16">
        <v>0.00085840636381867086</v>
      </c>
      <c r="J123" s="14" t="s">
        <v>24</v>
      </c>
    </row>
    <row r="124">
      <c r="B124" s="14">
        <v>115</v>
      </c>
      <c r="C124" s="23" t="s">
        <v>530</v>
      </c>
      <c r="D124" s="24">
        <v>0.2273</v>
      </c>
      <c r="E124" s="15">
        <v>1551461274</v>
      </c>
      <c r="F124" s="15">
        <v>1548735826</v>
      </c>
      <c r="G124" s="14" t="s">
        <v>20</v>
      </c>
      <c r="H124" s="16">
        <v>0.00225958756188772</v>
      </c>
      <c r="I124" s="16">
        <v>0.0021120638841834686</v>
      </c>
      <c r="J124" s="14" t="s">
        <v>20</v>
      </c>
    </row>
    <row r="125">
      <c r="B125" s="14">
        <v>116</v>
      </c>
      <c r="C125" s="23" t="s">
        <v>531</v>
      </c>
      <c r="D125" s="24">
        <v>0.6058</v>
      </c>
      <c r="E125" s="15">
        <v>1659165708</v>
      </c>
      <c r="F125" s="15">
        <v>1895027500</v>
      </c>
      <c r="G125" s="14" t="s">
        <v>19</v>
      </c>
      <c r="H125" s="16">
        <v>0.00053044047047328</v>
      </c>
      <c r="I125" s="16">
        <v>0.00056728836310098851</v>
      </c>
      <c r="J125" s="14" t="s">
        <v>19</v>
      </c>
    </row>
    <row r="126">
      <c r="B126" s="14">
        <v>117</v>
      </c>
      <c r="C126" s="23" t="s">
        <v>532</v>
      </c>
      <c r="D126" s="24">
        <v>0.2235</v>
      </c>
      <c r="E126" s="15">
        <v>1585956000</v>
      </c>
      <c r="F126" s="15">
        <v>1585956000</v>
      </c>
      <c r="G126" s="14" t="s">
        <v>24</v>
      </c>
      <c r="H126" s="16">
        <v>0.0065351190365067905</v>
      </c>
      <c r="I126" s="16">
        <v>0.0061192045711183632</v>
      </c>
      <c r="J126" s="14" t="s">
        <v>20</v>
      </c>
    </row>
    <row r="127">
      <c r="B127" s="14">
        <v>118</v>
      </c>
      <c r="C127" s="23" t="s">
        <v>533</v>
      </c>
      <c r="D127" s="24">
        <v>0.4612</v>
      </c>
      <c r="E127" s="15">
        <v>295960116</v>
      </c>
      <c r="F127" s="15">
        <v>295960116</v>
      </c>
      <c r="G127" s="14" t="s">
        <v>24</v>
      </c>
      <c r="H127" s="16">
        <v>0.00021552191090283</v>
      </c>
      <c r="I127" s="16">
        <v>0.00020180545347017403</v>
      </c>
      <c r="J127" s="14" t="s">
        <v>24</v>
      </c>
    </row>
    <row r="128">
      <c r="B128" s="14">
        <v>119</v>
      </c>
      <c r="C128" s="23" t="s">
        <v>534</v>
      </c>
      <c r="D128" s="24">
        <v>0.5152</v>
      </c>
      <c r="E128" s="15">
        <v>2448736521</v>
      </c>
      <c r="F128" s="15">
        <v>2448736521</v>
      </c>
      <c r="G128" s="14" t="s">
        <v>24</v>
      </c>
      <c r="H128" s="16">
        <v>2.1746353637609998E-05</v>
      </c>
      <c r="I128" s="16">
        <v>2.0362350838442722E-05</v>
      </c>
      <c r="J128" s="14" t="s">
        <v>24</v>
      </c>
    </row>
    <row r="129">
      <c r="B129" s="14">
        <v>120</v>
      </c>
      <c r="C129" s="23" t="s">
        <v>535</v>
      </c>
      <c r="D129" s="24">
        <v>0.1058</v>
      </c>
      <c r="E129" s="15">
        <v>11043806027</v>
      </c>
      <c r="F129" s="15">
        <v>7826086254</v>
      </c>
      <c r="G129" s="14" t="s">
        <v>20</v>
      </c>
      <c r="H129" s="16">
        <v>0.0268728495493859</v>
      </c>
      <c r="I129" s="16">
        <v>0.017831219674205218</v>
      </c>
      <c r="J129" s="14" t="s">
        <v>20</v>
      </c>
    </row>
    <row r="130">
      <c r="B130" s="14">
        <v>121</v>
      </c>
      <c r="C130" s="23" t="s">
        <v>536</v>
      </c>
      <c r="D130" s="24">
        <v>0.1231</v>
      </c>
      <c r="E130" s="15">
        <v>307750000</v>
      </c>
      <c r="F130" s="15">
        <v>307750000</v>
      </c>
      <c r="G130" s="14" t="s">
        <v>24</v>
      </c>
      <c r="H130" s="16">
        <v>0.00048647715622954</v>
      </c>
      <c r="I130" s="16">
        <v>0.00045551629916992196</v>
      </c>
      <c r="J130" s="14" t="s">
        <v>24</v>
      </c>
    </row>
    <row r="131">
      <c r="B131" s="14">
        <v>122</v>
      </c>
      <c r="C131" s="23" t="s">
        <v>537</v>
      </c>
      <c r="D131" s="24">
        <v>0.1436</v>
      </c>
      <c r="E131" s="15">
        <v>160735238</v>
      </c>
      <c r="F131" s="15">
        <v>160735238</v>
      </c>
      <c r="G131" s="14" t="s">
        <v>24</v>
      </c>
      <c r="H131" s="16">
        <v>0.00112053426680005</v>
      </c>
      <c r="I131" s="16">
        <v>0.0010492201224574858</v>
      </c>
      <c r="J131" s="14" t="s">
        <v>20</v>
      </c>
    </row>
    <row r="132">
      <c r="B132" s="14">
        <v>123</v>
      </c>
      <c r="C132" s="23" t="s">
        <v>538</v>
      </c>
      <c r="D132" s="24">
        <v>0.5433</v>
      </c>
      <c r="E132" s="15">
        <v>1338331569</v>
      </c>
      <c r="F132" s="15">
        <v>1338331801</v>
      </c>
      <c r="G132" s="14" t="s">
        <v>19</v>
      </c>
      <c r="H132" s="16">
        <v>0.00089139331654087</v>
      </c>
      <c r="I132" s="16">
        <v>0.00083466253217879139</v>
      </c>
      <c r="J132" s="14" t="s">
        <v>20</v>
      </c>
    </row>
    <row r="133">
      <c r="B133" s="14">
        <v>124</v>
      </c>
      <c r="C133" s="23" t="s">
        <v>539</v>
      </c>
      <c r="D133" s="24">
        <v>0.4096</v>
      </c>
      <c r="E133" s="15">
        <v>2358753460</v>
      </c>
      <c r="F133" s="15">
        <v>2358753460</v>
      </c>
      <c r="G133" s="14" t="s">
        <v>24</v>
      </c>
      <c r="H133" s="16">
        <v>0.0366576809220227</v>
      </c>
      <c r="I133" s="16">
        <v>0.034324676785970974</v>
      </c>
      <c r="J133" s="14" t="s">
        <v>20</v>
      </c>
    </row>
    <row r="134">
      <c r="B134" s="14">
        <v>125</v>
      </c>
      <c r="C134" s="23" t="s">
        <v>540</v>
      </c>
      <c r="D134" s="24">
        <v>0.2061</v>
      </c>
      <c r="E134" s="15">
        <v>92745000</v>
      </c>
      <c r="F134" s="15">
        <v>92745000</v>
      </c>
      <c r="G134" s="14" t="s">
        <v>24</v>
      </c>
      <c r="H134" s="16">
        <v>0.00018614155279108002</v>
      </c>
      <c r="I134" s="16">
        <v>0.0001742949492352478</v>
      </c>
      <c r="J134" s="14" t="s">
        <v>24</v>
      </c>
    </row>
    <row r="135">
      <c r="B135" s="14">
        <v>126</v>
      </c>
      <c r="C135" s="23" t="s">
        <v>541</v>
      </c>
      <c r="D135" s="24">
        <v>0.0758</v>
      </c>
      <c r="E135" s="15">
        <v>50209920</v>
      </c>
      <c r="F135" s="15">
        <v>50209920</v>
      </c>
      <c r="G135" s="14" t="s">
        <v>24</v>
      </c>
      <c r="H135" s="16">
        <v>0.00097205404265329</v>
      </c>
      <c r="I135" s="16">
        <v>0.00091018962438939592</v>
      </c>
      <c r="J135" s="14" t="s">
        <v>20</v>
      </c>
    </row>
    <row r="136">
      <c r="B136" s="14">
        <v>127</v>
      </c>
      <c r="C136" s="23" t="s">
        <v>542</v>
      </c>
      <c r="D136" s="24">
        <v>0.2501</v>
      </c>
      <c r="E136" s="15">
        <v>384101528</v>
      </c>
      <c r="F136" s="15">
        <v>250100995</v>
      </c>
      <c r="G136" s="14" t="s">
        <v>20</v>
      </c>
      <c r="H136" s="16">
        <v>0.0023365818243271798</v>
      </c>
      <c r="I136" s="16">
        <v>0.0014245964204494914</v>
      </c>
      <c r="J136" s="14" t="s">
        <v>20</v>
      </c>
    </row>
    <row r="137">
      <c r="B137" s="14">
        <v>128</v>
      </c>
      <c r="C137" s="23" t="s">
        <v>543</v>
      </c>
      <c r="D137" s="24">
        <v>0.3989</v>
      </c>
      <c r="E137" s="15">
        <v>8158373343</v>
      </c>
      <c r="F137" s="15">
        <v>8158373343</v>
      </c>
      <c r="G137" s="14" t="s">
        <v>24</v>
      </c>
      <c r="H137" s="16">
        <v>0.0105779331766589</v>
      </c>
      <c r="I137" s="16">
        <v>0.0099047219624576327</v>
      </c>
      <c r="J137" s="14" t="s">
        <v>20</v>
      </c>
    </row>
    <row r="138">
      <c r="B138" s="14">
        <v>129</v>
      </c>
      <c r="C138" s="23" t="s">
        <v>544</v>
      </c>
      <c r="D138" s="24">
        <v>0.0763</v>
      </c>
      <c r="E138" s="15">
        <v>89340371</v>
      </c>
      <c r="F138" s="15">
        <v>89340371</v>
      </c>
      <c r="G138" s="14" t="s">
        <v>24</v>
      </c>
      <c r="H138" s="16">
        <v>0.00039669994816100997</v>
      </c>
      <c r="I138" s="16">
        <v>0.00037145277833241895</v>
      </c>
      <c r="J138" s="14" t="s">
        <v>24</v>
      </c>
    </row>
    <row r="139">
      <c r="B139" s="14">
        <v>130</v>
      </c>
      <c r="C139" s="23" t="s">
        <v>545</v>
      </c>
      <c r="D139" s="24">
        <v>0.2051</v>
      </c>
      <c r="E139" s="15">
        <v>1094774404</v>
      </c>
      <c r="F139" s="15">
        <v>1104467438</v>
      </c>
      <c r="G139" s="14" t="s">
        <v>19</v>
      </c>
      <c r="H139" s="16">
        <v>0.00087500700972759993</v>
      </c>
      <c r="I139" s="16">
        <v>0.00082657313040751979</v>
      </c>
      <c r="J139" s="14" t="s">
        <v>20</v>
      </c>
    </row>
    <row r="140">
      <c r="B140" s="14">
        <v>131</v>
      </c>
      <c r="C140" s="23" t="s">
        <v>546</v>
      </c>
      <c r="D140" s="24">
        <v>0.3036</v>
      </c>
      <c r="E140" s="15">
        <v>2219598163</v>
      </c>
      <c r="F140" s="15">
        <v>2219598163</v>
      </c>
      <c r="G140" s="14" t="s">
        <v>24</v>
      </c>
      <c r="H140" s="16">
        <v>0.00017740312015949</v>
      </c>
      <c r="I140" s="16">
        <v>0.00016611265647986691</v>
      </c>
      <c r="J140" s="14" t="s">
        <v>24</v>
      </c>
    </row>
    <row r="141">
      <c r="B141" s="14">
        <v>132</v>
      </c>
      <c r="C141" s="23" t="s">
        <v>547</v>
      </c>
      <c r="D141" s="24">
        <v>0.1077</v>
      </c>
      <c r="E141" s="15">
        <v>519445328</v>
      </c>
      <c r="F141" s="15">
        <v>519445328</v>
      </c>
      <c r="G141" s="14" t="s">
        <v>24</v>
      </c>
      <c r="H141" s="16">
        <v>0.00458994321876343</v>
      </c>
      <c r="I141" s="16">
        <v>0.0042978255458960878</v>
      </c>
      <c r="J141" s="14" t="s">
        <v>20</v>
      </c>
    </row>
    <row r="142">
      <c r="B142" s="14">
        <v>133</v>
      </c>
      <c r="C142" s="23" t="s">
        <v>548</v>
      </c>
      <c r="D142" s="24">
        <v>0.2502</v>
      </c>
      <c r="E142" s="15">
        <v>264794979</v>
      </c>
      <c r="F142" s="15">
        <v>264794979</v>
      </c>
      <c r="G142" s="14" t="s">
        <v>24</v>
      </c>
      <c r="H142" s="16">
        <v>0.00026807664827038</v>
      </c>
      <c r="I142" s="16">
        <v>0.00025101545102264625</v>
      </c>
      <c r="J142" s="14" t="s">
        <v>24</v>
      </c>
    </row>
    <row r="143">
      <c r="B143" s="14">
        <v>134</v>
      </c>
      <c r="C143" s="23" t="s">
        <v>549</v>
      </c>
      <c r="D143" s="24">
        <v>0.2</v>
      </c>
      <c r="E143" s="15">
        <v>410004064</v>
      </c>
      <c r="F143" s="15">
        <v>410004064</v>
      </c>
      <c r="G143" s="14" t="s">
        <v>24</v>
      </c>
      <c r="H143" s="16">
        <v>0.00020754267257905998</v>
      </c>
      <c r="I143" s="16">
        <v>0.00019433403793464246</v>
      </c>
      <c r="J143" s="14" t="s">
        <v>24</v>
      </c>
    </row>
    <row r="144">
      <c r="B144" s="14">
        <v>135</v>
      </c>
      <c r="C144" s="23" t="s">
        <v>550</v>
      </c>
      <c r="D144" s="24">
        <v>0.3846</v>
      </c>
      <c r="E144" s="15">
        <v>551901274</v>
      </c>
      <c r="F144" s="15">
        <v>551901274</v>
      </c>
      <c r="G144" s="14" t="s">
        <v>24</v>
      </c>
      <c r="H144" s="16">
        <v>3.920990330981E-05</v>
      </c>
      <c r="I144" s="16">
        <v>3.6714468115200169E-05</v>
      </c>
      <c r="J144" s="14" t="s">
        <v>24</v>
      </c>
    </row>
    <row r="145">
      <c r="B145" s="14">
        <v>136</v>
      </c>
      <c r="C145" s="23" t="s">
        <v>551</v>
      </c>
      <c r="D145" s="24">
        <v>0.0463</v>
      </c>
      <c r="E145" s="15">
        <v>1204147002</v>
      </c>
      <c r="F145" s="15">
        <v>1204147002</v>
      </c>
      <c r="G145" s="14" t="s">
        <v>24</v>
      </c>
      <c r="H145" s="16">
        <v>0.00455547319573405</v>
      </c>
      <c r="I145" s="16">
        <v>0.0042655492958416624</v>
      </c>
      <c r="J145" s="14" t="s">
        <v>20</v>
      </c>
    </row>
    <row r="146">
      <c r="B146" s="14">
        <v>137</v>
      </c>
      <c r="C146" s="23" t="s">
        <v>552</v>
      </c>
      <c r="D146" s="24">
        <v>0.1328</v>
      </c>
      <c r="E146" s="15">
        <v>385455158</v>
      </c>
      <c r="F146" s="15">
        <v>417183741</v>
      </c>
      <c r="G146" s="14" t="s">
        <v>19</v>
      </c>
      <c r="H146" s="16">
        <v>0.00057850211887506</v>
      </c>
      <c r="I146" s="16">
        <v>0.00058627305705811269</v>
      </c>
      <c r="J146" s="14" t="s">
        <v>24</v>
      </c>
    </row>
    <row r="147">
      <c r="B147" s="14">
        <v>138</v>
      </c>
      <c r="C147" s="23" t="s">
        <v>553</v>
      </c>
      <c r="D147" s="24">
        <v>0.1841</v>
      </c>
      <c r="E147" s="15">
        <v>699944985</v>
      </c>
      <c r="F147" s="15">
        <v>640775096</v>
      </c>
      <c r="G147" s="14" t="s">
        <v>20</v>
      </c>
      <c r="H147" s="16">
        <v>0.00068375573052314</v>
      </c>
      <c r="I147" s="16">
        <v>0.00058611679612533018</v>
      </c>
      <c r="J147" s="14" t="s">
        <v>20</v>
      </c>
    </row>
    <row r="148">
      <c r="B148" s="14">
        <v>139</v>
      </c>
      <c r="C148" s="23" t="s">
        <v>554</v>
      </c>
      <c r="D148" s="24">
        <v>0.1455</v>
      </c>
      <c r="E148" s="15">
        <v>421117424</v>
      </c>
      <c r="F148" s="15">
        <v>421697076</v>
      </c>
      <c r="G148" s="14" t="s">
        <v>19</v>
      </c>
      <c r="H148" s="16">
        <v>0.00052731085475659007</v>
      </c>
      <c r="I148" s="16">
        <v>0.00049443084936816567</v>
      </c>
      <c r="J148" s="14" t="s">
        <v>24</v>
      </c>
    </row>
    <row r="149">
      <c r="B149" s="14">
        <v>140</v>
      </c>
      <c r="C149" s="23" t="s">
        <v>555</v>
      </c>
      <c r="D149" s="24">
        <v>0.41</v>
      </c>
      <c r="E149" s="15">
        <v>30923102</v>
      </c>
      <c r="F149" s="15">
        <v>30923102</v>
      </c>
      <c r="G149" s="14" t="s">
        <v>24</v>
      </c>
      <c r="H149" s="16">
        <v>8.677897644905E-05</v>
      </c>
      <c r="I149" s="16">
        <v>8.1256103583977722E-05</v>
      </c>
      <c r="J149" s="14" t="s">
        <v>24</v>
      </c>
    </row>
    <row r="150">
      <c r="B150" s="14">
        <v>141</v>
      </c>
      <c r="C150" s="23" t="s">
        <v>556</v>
      </c>
      <c r="D150" s="24">
        <v>0.25</v>
      </c>
      <c r="E150" s="15">
        <v>1666666675</v>
      </c>
      <c r="F150" s="15">
        <v>1666666675</v>
      </c>
      <c r="G150" s="14" t="s">
        <v>24</v>
      </c>
      <c r="H150" s="16">
        <v>0.00105087603528683</v>
      </c>
      <c r="I150" s="16">
        <v>0.00098399515033825756</v>
      </c>
      <c r="J150" s="14" t="s">
        <v>20</v>
      </c>
    </row>
    <row r="151">
      <c r="B151" s="14">
        <v>142</v>
      </c>
      <c r="C151" s="23" t="s">
        <v>557</v>
      </c>
      <c r="D151" s="24">
        <v>0.2354</v>
      </c>
      <c r="E151" s="15">
        <v>1121833582</v>
      </c>
      <c r="F151" s="15">
        <v>1121833582</v>
      </c>
      <c r="G151" s="14" t="s">
        <v>24</v>
      </c>
      <c r="H151" s="16">
        <v>0.0008767090635111</v>
      </c>
      <c r="I151" s="16">
        <v>0.00082091268427392282</v>
      </c>
      <c r="J151" s="14" t="s">
        <v>20</v>
      </c>
    </row>
    <row r="152">
      <c r="B152" s="14">
        <v>143</v>
      </c>
      <c r="C152" s="23" t="s">
        <v>558</v>
      </c>
      <c r="D152" s="24">
        <v>0.5119</v>
      </c>
      <c r="E152" s="15">
        <v>757356438</v>
      </c>
      <c r="F152" s="15">
        <v>8428060018</v>
      </c>
      <c r="G152" s="14" t="s">
        <v>19</v>
      </c>
      <c r="H152" s="16">
        <v>0.00022867760040075</v>
      </c>
      <c r="I152" s="16">
        <v>0.0023828263508803246</v>
      </c>
      <c r="J152" s="14" t="s">
        <v>19</v>
      </c>
    </row>
    <row r="153">
      <c r="B153" s="14">
        <v>144</v>
      </c>
      <c r="C153" s="23" t="s">
        <v>559</v>
      </c>
      <c r="D153" s="24">
        <v>0.5583</v>
      </c>
      <c r="E153" s="15">
        <v>15237826439</v>
      </c>
      <c r="F153" s="15">
        <v>16154065863</v>
      </c>
      <c r="G153" s="14" t="s">
        <v>19</v>
      </c>
      <c r="H153" s="16">
        <v>0.0906655317595071</v>
      </c>
      <c r="I153" s="16">
        <v>0.09</v>
      </c>
      <c r="J153" s="14" t="s">
        <v>20</v>
      </c>
    </row>
    <row r="154">
      <c r="B154" s="14">
        <v>145</v>
      </c>
      <c r="C154" s="23" t="s">
        <v>560</v>
      </c>
      <c r="D154" s="24">
        <v>0.2182</v>
      </c>
      <c r="E154" s="15">
        <v>1615168750</v>
      </c>
      <c r="F154" s="15">
        <v>1404662500</v>
      </c>
      <c r="G154" s="14" t="s">
        <v>20</v>
      </c>
      <c r="H154" s="16">
        <v>0.0043891832948682007</v>
      </c>
      <c r="I154" s="16">
        <v>0.0035742034713045529</v>
      </c>
      <c r="J154" s="14" t="s">
        <v>20</v>
      </c>
    </row>
    <row r="155">
      <c r="B155" s="14">
        <v>146</v>
      </c>
      <c r="C155" s="23" t="s">
        <v>561</v>
      </c>
      <c r="D155" s="24">
        <v>0.626</v>
      </c>
      <c r="E155" s="15">
        <v>1197396778</v>
      </c>
      <c r="F155" s="15">
        <v>1197396778</v>
      </c>
      <c r="G155" s="14" t="s">
        <v>24</v>
      </c>
      <c r="H155" s="16">
        <v>0.00095702874523475006</v>
      </c>
      <c r="I155" s="16">
        <v>0.00089612058135727843</v>
      </c>
      <c r="J155" s="14" t="s">
        <v>20</v>
      </c>
    </row>
    <row r="156">
      <c r="B156" s="14">
        <v>147</v>
      </c>
      <c r="C156" s="23" t="s">
        <v>562</v>
      </c>
      <c r="D156" s="24">
        <v>0.2599</v>
      </c>
      <c r="E156" s="15">
        <v>2208110400</v>
      </c>
      <c r="F156" s="15">
        <v>2208110400</v>
      </c>
      <c r="G156" s="14" t="s">
        <v>24</v>
      </c>
      <c r="H156" s="16">
        <v>0.0016275834435642699</v>
      </c>
      <c r="I156" s="16">
        <v>0.0015239991792190351</v>
      </c>
      <c r="J156" s="14" t="s">
        <v>20</v>
      </c>
    </row>
    <row r="157">
      <c r="B157" s="14">
        <v>148</v>
      </c>
      <c r="C157" s="23" t="s">
        <v>563</v>
      </c>
      <c r="D157" s="24">
        <v>0.1523</v>
      </c>
      <c r="E157" s="15">
        <v>132527116</v>
      </c>
      <c r="F157" s="15">
        <v>132527116</v>
      </c>
      <c r="G157" s="14" t="s">
        <v>24</v>
      </c>
      <c r="H157" s="16">
        <v>0.00038838556010814995</v>
      </c>
      <c r="I157" s="16">
        <v>0.00036366754504032014</v>
      </c>
      <c r="J157" s="14" t="s">
        <v>24</v>
      </c>
    </row>
    <row r="158" ht="14.5" customHeight="1">
      <c r="B158" s="30" t="s">
        <v>112</v>
      </c>
      <c r="C158" s="30"/>
      <c r="D158" s="30"/>
      <c r="E158" s="30"/>
      <c r="F158" s="30"/>
      <c r="G158" s="30"/>
      <c r="H158" s="30"/>
      <c r="I158" s="30"/>
      <c r="J158" s="30"/>
    </row>
    <row r="159">
      <c r="B159" s="31"/>
      <c r="C159" s="31"/>
      <c r="D159" s="31"/>
      <c r="E159" s="31"/>
      <c r="F159" s="31"/>
      <c r="G159" s="31"/>
      <c r="H159" s="31"/>
      <c r="I159" s="31"/>
      <c r="J159" s="31"/>
    </row>
    <row r="160">
      <c r="B160" s="17"/>
      <c r="C160" s="18"/>
      <c r="D160" s="19"/>
      <c r="E160" s="20"/>
      <c r="F160" s="21"/>
      <c r="G160" s="20"/>
      <c r="H160" s="21"/>
      <c r="I160" s="17"/>
    </row>
    <row r="161">
      <c r="D161" s="26"/>
      <c r="E161" s="26"/>
    </row>
  </sheetData>
  <mergeCells>
    <mergeCell ref="B158:J159"/>
    <mergeCell ref="B8:B9"/>
    <mergeCell ref="C8:C9"/>
    <mergeCell ref="D8:D9"/>
    <mergeCell ref="E8:G8"/>
    <mergeCell ref="H8:J8"/>
  </mergeCells>
  <conditionalFormatting sqref="B158">
    <cfRule type="expression" dxfId="0" priority="1">
      <formula>$H158="Baru"</formula>
    </cfRule>
  </conditionalFormatting>
  <conditionalFormatting sqref="B160:I160">
    <cfRule type="expression" dxfId="0" priority="4">
      <formula>$I160="Baru"</formula>
    </cfRule>
  </conditionalFormatting>
  <conditionalFormatting sqref="B10:J157">
    <cfRule type="expression" dxfId="0" priority="2">
      <formula>$J10="Baru"</formula>
    </cfRule>
  </conditionalFormatting>
  <pageMargins left="0.7" right="0.7" top="0.75" bottom="0.75" header="0.3" footer="0.3"/>
  <pageSetup orientation="portrait" horizontalDpi="360" verticalDpi="360"/>
  <headerFooter>
    <oddFooter>&amp;L_x000D_&amp;1#&amp;"Calibri"&amp;10&amp;K000000 Kode 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60F69-B585-4C73-9A01-DABCF44EBFE5}">
  <dimension ref="A2:J51"/>
  <sheetViews>
    <sheetView topLeftCell="A5" workbookViewId="0">
      <selection activeCell="B10" sqref="B10:J47"/>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2" width="8.81640625" customWidth="1" style="6"/>
    <col min="13" max="13" bestFit="1" width="8.81640625" customWidth="1" style="6"/>
    <col min="14" max="15" bestFit="1" width="11.81640625" customWidth="1" style="6"/>
    <col min="16" max="16384" width="8.81640625" customWidth="1" style="6"/>
  </cols>
  <sheetData>
    <row r="2">
      <c r="B2" s="32" t="str">
        <f>LEFT('A ENERGY'!B2,9) &amp; (VALUE(MID('A ENERGY'!B2,10,1))+5) &amp; _xlfn.TEXTAFTER('A ENERGY'!B2,"Lampiran 5")</f>
        <v>Lampiran 10 Pengumuman BEI No. Peng-00044/BEI.POP/03-2026 tanggal 25 Maret 2026</v>
      </c>
      <c r="C2" s="32"/>
      <c r="D2" s="32"/>
      <c r="E2" s="32"/>
      <c r="F2" s="32"/>
      <c r="G2" s="32"/>
      <c r="H2" s="32"/>
    </row>
    <row r="3">
      <c r="B3" s="5" t="s">
        <v>1</v>
      </c>
      <c r="F3" s="22"/>
      <c r="G3" s="22" t="s">
        <v>564</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227</v>
      </c>
      <c r="G9" s="25" t="s">
        <v>15</v>
      </c>
      <c r="H9" s="13" t="s">
        <v>16</v>
      </c>
      <c r="I9" s="13" t="s">
        <v>17</v>
      </c>
      <c r="J9" s="25" t="s">
        <v>15</v>
      </c>
    </row>
    <row r="10">
      <c r="B10" s="14">
        <v>1</v>
      </c>
      <c r="C10" s="23" t="s">
        <v>565</v>
      </c>
      <c r="D10" s="24">
        <v>0.3581</v>
      </c>
      <c r="E10" s="15">
        <v>3080883333</v>
      </c>
      <c r="F10" s="15">
        <v>3080883333</v>
      </c>
      <c r="G10" s="14" t="s">
        <v>24</v>
      </c>
      <c r="H10" s="16">
        <v>0.00936820963801263</v>
      </c>
      <c r="I10" s="16">
        <v>0.0093244121074632</v>
      </c>
      <c r="J10" s="14" t="s">
        <v>20</v>
      </c>
    </row>
    <row r="11">
      <c r="B11" s="14">
        <v>2</v>
      </c>
      <c r="C11" s="23" t="s">
        <v>566</v>
      </c>
      <c r="D11" s="24">
        <v>0.331</v>
      </c>
      <c r="E11" s="15">
        <v>10008250000</v>
      </c>
      <c r="F11" s="15">
        <v>11005750000</v>
      </c>
      <c r="G11" s="14" t="s">
        <v>19</v>
      </c>
      <c r="H11" s="16">
        <v>0.0661292835890839</v>
      </c>
      <c r="I11" s="16">
        <v>0.072380266032744736</v>
      </c>
      <c r="J11" s="14" t="s">
        <v>19</v>
      </c>
    </row>
    <row r="12">
      <c r="B12" s="14">
        <v>3</v>
      </c>
      <c r="C12" s="23" t="s">
        <v>567</v>
      </c>
      <c r="D12" s="24">
        <v>0.2097</v>
      </c>
      <c r="E12" s="15">
        <v>862565612</v>
      </c>
      <c r="F12" s="15">
        <v>862565612</v>
      </c>
      <c r="G12" s="14" t="s">
        <v>24</v>
      </c>
      <c r="H12" s="16">
        <v>0.00195650447681143</v>
      </c>
      <c r="I12" s="16">
        <v>0.0019473575792576638</v>
      </c>
      <c r="J12" s="14" t="s">
        <v>20</v>
      </c>
    </row>
    <row r="13">
      <c r="B13" s="14">
        <v>4</v>
      </c>
      <c r="C13" s="23" t="s">
        <v>568</v>
      </c>
      <c r="D13" s="24">
        <v>0.2</v>
      </c>
      <c r="E13" s="15">
        <v>250000000</v>
      </c>
      <c r="F13" s="15">
        <v>250000000</v>
      </c>
      <c r="G13" s="14" t="s">
        <v>24</v>
      </c>
      <c r="H13" s="16">
        <v>0.00116699224006487</v>
      </c>
      <c r="I13" s="16">
        <v>0.001161536408167661</v>
      </c>
      <c r="J13" s="14" t="s">
        <v>24</v>
      </c>
    </row>
    <row r="14">
      <c r="B14" s="14">
        <v>5</v>
      </c>
      <c r="C14" s="23" t="s">
        <v>569</v>
      </c>
      <c r="D14" s="24">
        <v>0.2079</v>
      </c>
      <c r="E14" s="15">
        <v>530159019</v>
      </c>
      <c r="F14" s="15">
        <v>530175794</v>
      </c>
      <c r="G14" s="14" t="s">
        <v>19</v>
      </c>
      <c r="H14" s="16">
        <v>0.00052283785451273993</v>
      </c>
      <c r="I14" s="16">
        <v>0.00052040998954825789</v>
      </c>
      <c r="J14" s="14" t="s">
        <v>24</v>
      </c>
    </row>
    <row r="15">
      <c r="B15" s="14">
        <v>6</v>
      </c>
      <c r="C15" s="23" t="s">
        <v>570</v>
      </c>
      <c r="D15" s="24">
        <v>0.0776</v>
      </c>
      <c r="E15" s="15">
        <v>86912000</v>
      </c>
      <c r="F15" s="15">
        <v>86912000</v>
      </c>
      <c r="G15" s="14" t="s">
        <v>24</v>
      </c>
      <c r="H15" s="16">
        <v>0.00229993329021569</v>
      </c>
      <c r="I15" s="16">
        <v>0.0022891808199117618</v>
      </c>
      <c r="J15" s="14" t="s">
        <v>24</v>
      </c>
    </row>
    <row r="16">
      <c r="B16" s="14">
        <v>7</v>
      </c>
      <c r="C16" s="23" t="s">
        <v>571</v>
      </c>
      <c r="D16" s="24">
        <v>0.1192</v>
      </c>
      <c r="E16" s="15">
        <v>911273336</v>
      </c>
      <c r="F16" s="15">
        <v>724584511</v>
      </c>
      <c r="G16" s="14" t="s">
        <v>20</v>
      </c>
      <c r="H16" s="16">
        <v>0.0010185144506327</v>
      </c>
      <c r="I16" s="16">
        <v>0.0008060694045322267</v>
      </c>
      <c r="J16" s="14" t="s">
        <v>20</v>
      </c>
    </row>
    <row r="17">
      <c r="B17" s="14">
        <v>8</v>
      </c>
      <c r="C17" s="23" t="s">
        <v>572</v>
      </c>
      <c r="D17" s="24">
        <v>0.531</v>
      </c>
      <c r="E17" s="15">
        <v>8206953895</v>
      </c>
      <c r="F17" s="15">
        <v>8159319450</v>
      </c>
      <c r="G17" s="14" t="s">
        <v>20</v>
      </c>
      <c r="H17" s="16">
        <v>0.180083067125309</v>
      </c>
      <c r="I17" s="16">
        <v>0.17820081296346185</v>
      </c>
      <c r="J17" s="14" t="s">
        <v>20</v>
      </c>
    </row>
    <row r="18" s="7" customFormat="1">
      <c r="B18" s="14">
        <v>9</v>
      </c>
      <c r="C18" s="23" t="s">
        <v>573</v>
      </c>
      <c r="D18" s="24">
        <v>0.2</v>
      </c>
      <c r="E18" s="15">
        <v>336932500</v>
      </c>
      <c r="F18" s="15">
        <v>336932500</v>
      </c>
      <c r="G18" s="14" t="s">
        <v>24</v>
      </c>
      <c r="H18" s="16">
        <v>0.00112975088784273</v>
      </c>
      <c r="I18" s="16">
        <v>0.0011244691638361956</v>
      </c>
      <c r="J18" s="14" t="s">
        <v>24</v>
      </c>
    </row>
    <row r="19" s="7" customFormat="1">
      <c r="B19" s="14">
        <v>10</v>
      </c>
      <c r="C19" s="23" t="s">
        <v>574</v>
      </c>
      <c r="D19" s="24">
        <v>0.1199</v>
      </c>
      <c r="E19" s="15">
        <v>371602173</v>
      </c>
      <c r="F19" s="15">
        <v>371602173</v>
      </c>
      <c r="G19" s="14" t="s">
        <v>24</v>
      </c>
      <c r="H19" s="16">
        <v>0.00076958821672623991</v>
      </c>
      <c r="I19" s="16">
        <v>0.00076599029790981469</v>
      </c>
      <c r="J19" s="14" t="s">
        <v>24</v>
      </c>
    </row>
    <row r="20">
      <c r="B20" s="14">
        <v>11</v>
      </c>
      <c r="C20" s="23" t="s">
        <v>575</v>
      </c>
      <c r="D20" s="24">
        <v>0.1544</v>
      </c>
      <c r="E20" s="15">
        <v>247040000</v>
      </c>
      <c r="F20" s="15">
        <v>247040000</v>
      </c>
      <c r="G20" s="14" t="s">
        <v>24</v>
      </c>
      <c r="H20" s="16">
        <v>0.00155110165437337</v>
      </c>
      <c r="I20" s="16">
        <v>0.00154385006383899</v>
      </c>
      <c r="J20" s="14" t="s">
        <v>20</v>
      </c>
    </row>
    <row r="21">
      <c r="B21" s="14">
        <v>12</v>
      </c>
      <c r="C21" s="23" t="s">
        <v>576</v>
      </c>
      <c r="D21" s="24">
        <v>0.1018</v>
      </c>
      <c r="E21" s="15">
        <v>566678700</v>
      </c>
      <c r="F21" s="15">
        <v>566678819</v>
      </c>
      <c r="G21" s="14" t="s">
        <v>19</v>
      </c>
      <c r="H21" s="16">
        <v>0.00434042668743215</v>
      </c>
      <c r="I21" s="16">
        <v>0.0043201355668949209</v>
      </c>
      <c r="J21" s="14" t="s">
        <v>24</v>
      </c>
    </row>
    <row r="22">
      <c r="B22" s="14">
        <v>13</v>
      </c>
      <c r="C22" s="23" t="s">
        <v>577</v>
      </c>
      <c r="D22" s="24">
        <v>0.3833</v>
      </c>
      <c r="E22" s="15">
        <v>11593788251</v>
      </c>
      <c r="F22" s="15">
        <v>12603285747</v>
      </c>
      <c r="G22" s="14" t="s">
        <v>19</v>
      </c>
      <c r="H22" s="16">
        <v>0.18484457879177602</v>
      </c>
      <c r="I22" s="16">
        <v>0.2</v>
      </c>
      <c r="J22" s="14" t="s">
        <v>19</v>
      </c>
    </row>
    <row r="23">
      <c r="B23" s="14">
        <v>14</v>
      </c>
      <c r="C23" s="23" t="s">
        <v>578</v>
      </c>
      <c r="D23" s="24">
        <v>0.2103</v>
      </c>
      <c r="E23" s="15">
        <v>830685000</v>
      </c>
      <c r="F23" s="15">
        <v>830685000</v>
      </c>
      <c r="G23" s="14" t="s">
        <v>24</v>
      </c>
      <c r="H23" s="16">
        <v>0.00211630221247091</v>
      </c>
      <c r="I23" s="16">
        <v>0.0021064082399846027</v>
      </c>
      <c r="J23" s="14" t="s">
        <v>24</v>
      </c>
    </row>
    <row r="24">
      <c r="B24" s="14">
        <v>15</v>
      </c>
      <c r="C24" s="23" t="s">
        <v>579</v>
      </c>
      <c r="D24" s="24">
        <v>0.169</v>
      </c>
      <c r="E24" s="15">
        <v>2369568708</v>
      </c>
      <c r="F24" s="15">
        <v>2368167425</v>
      </c>
      <c r="G24" s="14" t="s">
        <v>20</v>
      </c>
      <c r="H24" s="16">
        <v>0.00794527791669655</v>
      </c>
      <c r="I24" s="16">
        <v>0.0079034561647032178</v>
      </c>
      <c r="J24" s="14" t="s">
        <v>24</v>
      </c>
    </row>
    <row r="25">
      <c r="B25" s="14">
        <v>16</v>
      </c>
      <c r="C25" s="23" t="s">
        <v>580</v>
      </c>
      <c r="D25" s="24">
        <v>0.4009</v>
      </c>
      <c r="E25" s="15">
        <v>454531250</v>
      </c>
      <c r="F25" s="15">
        <v>626406250</v>
      </c>
      <c r="G25" s="14" t="s">
        <v>19</v>
      </c>
      <c r="H25" s="16">
        <v>0.00041089991956245</v>
      </c>
      <c r="I25" s="16">
        <v>0.000563628895948346</v>
      </c>
      <c r="J25" s="14" t="s">
        <v>19</v>
      </c>
    </row>
    <row r="26">
      <c r="B26" s="14">
        <v>17</v>
      </c>
      <c r="C26" s="23" t="s">
        <v>581</v>
      </c>
      <c r="D26" s="24">
        <v>0.1251</v>
      </c>
      <c r="E26" s="15">
        <v>56044800</v>
      </c>
      <c r="F26" s="15">
        <v>56044800</v>
      </c>
      <c r="G26" s="14" t="s">
        <v>24</v>
      </c>
      <c r="H26" s="16">
        <v>0.00282802548389693</v>
      </c>
      <c r="I26" s="16">
        <v>0.0028148041177974373</v>
      </c>
      <c r="J26" s="14" t="s">
        <v>24</v>
      </c>
    </row>
    <row r="27">
      <c r="B27" s="14">
        <v>18</v>
      </c>
      <c r="C27" s="23" t="s">
        <v>582</v>
      </c>
      <c r="D27" s="24">
        <v>0.1664</v>
      </c>
      <c r="E27" s="15">
        <v>2314204922</v>
      </c>
      <c r="F27" s="15">
        <v>2314204922</v>
      </c>
      <c r="G27" s="14" t="s">
        <v>24</v>
      </c>
      <c r="H27" s="16">
        <v>0.0798786519771444</v>
      </c>
      <c r="I27" s="16">
        <v>0.079505209465328089</v>
      </c>
      <c r="J27" s="14" t="s">
        <v>20</v>
      </c>
    </row>
    <row r="28">
      <c r="B28" s="14">
        <v>19</v>
      </c>
      <c r="C28" s="23" t="s">
        <v>583</v>
      </c>
      <c r="D28" s="24">
        <v>0.2191</v>
      </c>
      <c r="E28" s="15">
        <v>1051773201</v>
      </c>
      <c r="F28" s="15">
        <v>1051773201</v>
      </c>
      <c r="G28" s="14" t="s">
        <v>24</v>
      </c>
      <c r="H28" s="16">
        <v>0.0037686708975322703</v>
      </c>
      <c r="I28" s="16">
        <v>0.0037510518978558938</v>
      </c>
      <c r="J28" s="14" t="s">
        <v>24</v>
      </c>
    </row>
    <row r="29">
      <c r="B29" s="14">
        <v>20</v>
      </c>
      <c r="C29" s="23" t="s">
        <v>584</v>
      </c>
      <c r="D29" s="24">
        <v>0.1509</v>
      </c>
      <c r="E29" s="15">
        <v>312140717</v>
      </c>
      <c r="F29" s="15">
        <v>312140717</v>
      </c>
      <c r="G29" s="14" t="s">
        <v>24</v>
      </c>
      <c r="H29" s="16">
        <v>0.0051305041485533096</v>
      </c>
      <c r="I29" s="16">
        <v>0.0051065184082039715</v>
      </c>
      <c r="J29" s="14" t="s">
        <v>24</v>
      </c>
    </row>
    <row r="30">
      <c r="B30" s="14">
        <v>21</v>
      </c>
      <c r="C30" s="23" t="s">
        <v>585</v>
      </c>
      <c r="D30" s="24">
        <v>0.2425</v>
      </c>
      <c r="E30" s="15">
        <v>77143255</v>
      </c>
      <c r="F30" s="15">
        <v>164991319</v>
      </c>
      <c r="G30" s="14" t="s">
        <v>19</v>
      </c>
      <c r="H30" s="16">
        <v>0.0004437880702172</v>
      </c>
      <c r="I30" s="16">
        <v>0.00094472110697742153</v>
      </c>
      <c r="J30" s="14" t="s">
        <v>19</v>
      </c>
    </row>
    <row r="31">
      <c r="B31" s="14">
        <v>22</v>
      </c>
      <c r="C31" s="23" t="s">
        <v>586</v>
      </c>
      <c r="D31" s="24">
        <v>0.1467</v>
      </c>
      <c r="E31" s="15">
        <v>3977650950</v>
      </c>
      <c r="F31" s="15">
        <v>3969533295</v>
      </c>
      <c r="G31" s="14" t="s">
        <v>20</v>
      </c>
      <c r="H31" s="16">
        <v>0.0164754327277301</v>
      </c>
      <c r="I31" s="16">
        <v>0.016364941919510035</v>
      </c>
      <c r="J31" s="14" t="s">
        <v>20</v>
      </c>
    </row>
    <row r="32">
      <c r="B32" s="14">
        <v>23</v>
      </c>
      <c r="C32" s="23" t="s">
        <v>587</v>
      </c>
      <c r="D32" s="24">
        <v>0.3017</v>
      </c>
      <c r="E32" s="15">
        <v>251664000</v>
      </c>
      <c r="F32" s="15">
        <v>253428000</v>
      </c>
      <c r="G32" s="14" t="s">
        <v>19</v>
      </c>
      <c r="H32" s="16">
        <v>0.0011499408726595001</v>
      </c>
      <c r="I32" s="16">
        <v>0.0011525874081697702</v>
      </c>
      <c r="J32" s="14" t="s">
        <v>19</v>
      </c>
    </row>
    <row r="33">
      <c r="B33" s="14">
        <v>24</v>
      </c>
      <c r="C33" s="23" t="s">
        <v>588</v>
      </c>
      <c r="D33" s="24">
        <v>0.1838</v>
      </c>
      <c r="E33" s="15">
        <v>324521875</v>
      </c>
      <c r="F33" s="15">
        <v>324521875</v>
      </c>
      <c r="G33" s="14" t="s">
        <v>24</v>
      </c>
      <c r="H33" s="16">
        <v>0.00257099146127799</v>
      </c>
      <c r="I33" s="16">
        <v>0.0025589717607690044</v>
      </c>
      <c r="J33" s="14" t="s">
        <v>24</v>
      </c>
    </row>
    <row r="34">
      <c r="B34" s="14">
        <v>25</v>
      </c>
      <c r="C34" s="23" t="s">
        <v>589</v>
      </c>
      <c r="D34" s="24">
        <v>0.0792</v>
      </c>
      <c r="E34" s="15">
        <v>1109774073</v>
      </c>
      <c r="F34" s="15">
        <v>1105586246</v>
      </c>
      <c r="G34" s="14" t="s">
        <v>20</v>
      </c>
      <c r="H34" s="16">
        <v>0.0135894057733107</v>
      </c>
      <c r="I34" s="16">
        <v>0.013474832599672805</v>
      </c>
      <c r="J34" s="14" t="s">
        <v>20</v>
      </c>
    </row>
    <row r="35">
      <c r="B35" s="14">
        <v>26</v>
      </c>
      <c r="C35" s="23" t="s">
        <v>590</v>
      </c>
      <c r="D35" s="24">
        <v>0.2291</v>
      </c>
      <c r="E35" s="15">
        <v>214781250</v>
      </c>
      <c r="F35" s="15">
        <v>214781250</v>
      </c>
      <c r="G35" s="14" t="s">
        <v>24</v>
      </c>
      <c r="H35" s="16">
        <v>0.00875503055087823</v>
      </c>
      <c r="I35" s="16">
        <v>0.0087140997089234645</v>
      </c>
      <c r="J35" s="14" t="s">
        <v>20</v>
      </c>
    </row>
    <row r="36">
      <c r="B36" s="14">
        <v>27</v>
      </c>
      <c r="C36" s="23" t="s">
        <v>591</v>
      </c>
      <c r="D36" s="24">
        <v>0.2148</v>
      </c>
      <c r="E36" s="15">
        <v>729588505</v>
      </c>
      <c r="F36" s="15">
        <v>728909818</v>
      </c>
      <c r="G36" s="14" t="s">
        <v>20</v>
      </c>
      <c r="H36" s="16">
        <v>0.00081544845657375</v>
      </c>
      <c r="I36" s="16">
        <v>0.00081088112416376082</v>
      </c>
      <c r="J36" s="14" t="s">
        <v>24</v>
      </c>
    </row>
    <row r="37">
      <c r="B37" s="14">
        <v>28</v>
      </c>
      <c r="C37" s="23" t="s">
        <v>592</v>
      </c>
      <c r="D37" s="24">
        <v>0.3076</v>
      </c>
      <c r="E37" s="15">
        <v>3857556459</v>
      </c>
      <c r="F37" s="15">
        <v>3456407209</v>
      </c>
      <c r="G37" s="14" t="s">
        <v>20</v>
      </c>
      <c r="H37" s="16">
        <v>0.0192750491520084</v>
      </c>
      <c r="I37" s="16">
        <v>0.017189884726868904</v>
      </c>
      <c r="J37" s="14" t="s">
        <v>20</v>
      </c>
    </row>
    <row r="38">
      <c r="B38" s="14">
        <v>29</v>
      </c>
      <c r="C38" s="23" t="s">
        <v>593</v>
      </c>
      <c r="D38" s="24">
        <v>0.2</v>
      </c>
      <c r="E38" s="15">
        <v>530000000</v>
      </c>
      <c r="F38" s="15">
        <v>530000000</v>
      </c>
      <c r="G38" s="14" t="s">
        <v>24</v>
      </c>
      <c r="H38" s="16">
        <v>0.0029967045804032</v>
      </c>
      <c r="I38" s="16">
        <v>0.0029826946188327881</v>
      </c>
      <c r="J38" s="14" t="s">
        <v>24</v>
      </c>
    </row>
    <row r="39">
      <c r="B39" s="14">
        <v>30</v>
      </c>
      <c r="C39" s="23" t="s">
        <v>594</v>
      </c>
      <c r="D39" s="24">
        <v>0.0755</v>
      </c>
      <c r="E39" s="15">
        <v>46669685</v>
      </c>
      <c r="F39" s="15">
        <v>70190463</v>
      </c>
      <c r="G39" s="14" t="s">
        <v>19</v>
      </c>
      <c r="H39" s="16">
        <v>0.00075174502868234</v>
      </c>
      <c r="I39" s="16">
        <v>0.0011253267907870334</v>
      </c>
      <c r="J39" s="14" t="s">
        <v>19</v>
      </c>
    </row>
    <row r="40">
      <c r="B40" s="14">
        <v>31</v>
      </c>
      <c r="C40" s="23" t="s">
        <v>595</v>
      </c>
      <c r="D40" s="24">
        <v>0.1518</v>
      </c>
      <c r="E40" s="15">
        <v>2891006547</v>
      </c>
      <c r="F40" s="15">
        <v>2602934720</v>
      </c>
      <c r="G40" s="14" t="s">
        <v>20</v>
      </c>
      <c r="H40" s="16">
        <v>0.015966067905992202</v>
      </c>
      <c r="I40" s="16">
        <v>0.014307937433399767</v>
      </c>
      <c r="J40" s="14" t="s">
        <v>20</v>
      </c>
    </row>
    <row r="41">
      <c r="B41" s="14">
        <v>32</v>
      </c>
      <c r="C41" s="23" t="s">
        <v>596</v>
      </c>
      <c r="D41" s="24">
        <v>0.0121</v>
      </c>
      <c r="E41" s="15">
        <v>43560</v>
      </c>
      <c r="F41" s="15">
        <v>43560</v>
      </c>
      <c r="G41" s="14" t="s">
        <v>24</v>
      </c>
      <c r="H41" s="16">
        <v>2.076325742732E-05</v>
      </c>
      <c r="I41" s="16">
        <v>2.0666186651460789E-05</v>
      </c>
      <c r="J41" s="14" t="s">
        <v>24</v>
      </c>
    </row>
    <row r="42">
      <c r="B42" s="14">
        <v>33</v>
      </c>
      <c r="C42" s="23" t="s">
        <v>597</v>
      </c>
      <c r="D42" s="24">
        <v>0.2021</v>
      </c>
      <c r="E42" s="15">
        <v>6060000000</v>
      </c>
      <c r="F42" s="15">
        <v>6063000000</v>
      </c>
      <c r="G42" s="14" t="s">
        <v>19</v>
      </c>
      <c r="H42" s="16">
        <v>0.050300652848880606</v>
      </c>
      <c r="I42" s="16">
        <v>0.050090276022167139</v>
      </c>
      <c r="J42" s="14" t="s">
        <v>20</v>
      </c>
    </row>
    <row r="43">
      <c r="B43" s="14">
        <v>34</v>
      </c>
      <c r="C43" s="23" t="s">
        <v>598</v>
      </c>
      <c r="D43" s="24">
        <v>0.0754</v>
      </c>
      <c r="E43" s="15">
        <v>1058698575</v>
      </c>
      <c r="F43" s="15">
        <v>980661825</v>
      </c>
      <c r="G43" s="14" t="s">
        <v>20</v>
      </c>
      <c r="H43" s="16">
        <v>0.0476795898473817</v>
      </c>
      <c r="I43" s="16">
        <v>0.043958646393171028</v>
      </c>
      <c r="J43" s="14" t="s">
        <v>20</v>
      </c>
    </row>
    <row r="44">
      <c r="B44" s="14">
        <v>35</v>
      </c>
      <c r="C44" s="23" t="s">
        <v>599</v>
      </c>
      <c r="D44" s="24">
        <v>0.0924</v>
      </c>
      <c r="E44" s="15">
        <v>1143520583</v>
      </c>
      <c r="F44" s="15">
        <v>1172711453</v>
      </c>
      <c r="G44" s="14" t="s">
        <v>19</v>
      </c>
      <c r="H44" s="16">
        <v>0.0313884649297861</v>
      </c>
      <c r="I44" s="16">
        <v>0.032039233400039793</v>
      </c>
      <c r="J44" s="14" t="s">
        <v>19</v>
      </c>
    </row>
    <row r="45">
      <c r="B45" s="14">
        <v>36</v>
      </c>
      <c r="C45" s="23" t="s">
        <v>600</v>
      </c>
      <c r="D45" s="24">
        <v>0.168</v>
      </c>
      <c r="E45" s="15">
        <v>858150490</v>
      </c>
      <c r="F45" s="15">
        <v>813656384</v>
      </c>
      <c r="G45" s="14" t="s">
        <v>20</v>
      </c>
      <c r="H45" s="16">
        <v>0.211927617093436</v>
      </c>
      <c r="I45" s="16">
        <v>0.2</v>
      </c>
      <c r="J45" s="14" t="s">
        <v>20</v>
      </c>
    </row>
    <row r="46">
      <c r="B46" s="14">
        <v>37</v>
      </c>
      <c r="C46" s="23" t="s">
        <v>601</v>
      </c>
      <c r="D46" s="24">
        <v>0.146</v>
      </c>
      <c r="E46" s="15">
        <v>933053438</v>
      </c>
      <c r="F46" s="15">
        <v>924818750</v>
      </c>
      <c r="G46" s="14" t="s">
        <v>20</v>
      </c>
      <c r="H46" s="16">
        <v>0.00087416012588134</v>
      </c>
      <c r="I46" s="16">
        <v>0.0008623944647552543</v>
      </c>
      <c r="J46" s="14" t="s">
        <v>24</v>
      </c>
    </row>
    <row r="47">
      <c r="B47" s="14">
        <v>38</v>
      </c>
      <c r="C47" s="23" t="s">
        <v>602</v>
      </c>
      <c r="D47" s="24">
        <v>0.0925</v>
      </c>
      <c r="E47" s="15">
        <v>427084149</v>
      </c>
      <c r="F47" s="15">
        <v>417162448</v>
      </c>
      <c r="G47" s="14" t="s">
        <v>20</v>
      </c>
      <c r="H47" s="16">
        <v>0.0177600258588226</v>
      </c>
      <c r="I47" s="16">
        <v>0.017266336747751698</v>
      </c>
      <c r="J47" s="14" t="s">
        <v>20</v>
      </c>
    </row>
    <row r="48" ht="14.5" customHeight="1">
      <c r="B48" s="30" t="s">
        <v>112</v>
      </c>
      <c r="C48" s="30"/>
      <c r="D48" s="30"/>
      <c r="E48" s="30"/>
      <c r="F48" s="30"/>
      <c r="G48" s="30"/>
      <c r="H48" s="30"/>
      <c r="I48" s="30"/>
      <c r="J48" s="30"/>
    </row>
    <row r="49">
      <c r="B49" s="31"/>
      <c r="C49" s="31"/>
      <c r="D49" s="31"/>
      <c r="E49" s="31"/>
      <c r="F49" s="31"/>
      <c r="G49" s="31"/>
      <c r="H49" s="31"/>
      <c r="I49" s="31"/>
      <c r="J49" s="31"/>
    </row>
    <row r="51">
      <c r="D51" s="26"/>
      <c r="E51" s="26"/>
    </row>
  </sheetData>
  <mergeCells>
    <mergeCell ref="B48:J49"/>
    <mergeCell ref="B2:H2"/>
    <mergeCell ref="B8:B9"/>
    <mergeCell ref="C8:C9"/>
    <mergeCell ref="D8:D9"/>
    <mergeCell ref="E8:G8"/>
    <mergeCell ref="H8:J8"/>
  </mergeCells>
  <conditionalFormatting sqref="B48">
    <cfRule type="expression" dxfId="0" priority="1">
      <formula>$H48="Baru"</formula>
    </cfRule>
  </conditionalFormatting>
  <conditionalFormatting sqref="B10:J47">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9923-C6D0-47A4-A788-6E10060035DF}">
  <dimension ref="A2:K119"/>
  <sheetViews>
    <sheetView workbookViewId="0">
      <selection activeCell="B10" sqref="B10:J115"/>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6384" width="8.81640625" customWidth="1" style="6"/>
  </cols>
  <sheetData>
    <row r="2">
      <c r="B2" s="32" t="str">
        <f>LEFT('A ENERGY'!B2,9) &amp; (VALUE(MID('A ENERGY'!B2,10,1))+6) &amp; _xlfn.TEXTAFTER('A ENERGY'!B2,"Lampiran 5")</f>
        <v>Lampiran 11 Pengumuman BEI No. Peng-00044/BEI.POP/03-2026 tanggal 25 Maret 2026</v>
      </c>
      <c r="C2" s="32"/>
      <c r="D2" s="32"/>
      <c r="E2" s="32"/>
      <c r="F2" s="32"/>
      <c r="G2" s="32"/>
      <c r="H2" s="32"/>
    </row>
    <row r="3">
      <c r="B3" s="5" t="s">
        <v>1</v>
      </c>
      <c r="F3" s="22"/>
      <c r="G3" s="22" t="s">
        <v>603</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604</v>
      </c>
      <c r="D10" s="24">
        <v>0.131</v>
      </c>
      <c r="E10" s="15">
        <v>81325675</v>
      </c>
      <c r="F10" s="15">
        <v>81325675</v>
      </c>
      <c r="G10" s="14" t="s">
        <v>24</v>
      </c>
      <c r="H10" s="16">
        <v>0.00056258143370527</v>
      </c>
      <c r="I10" s="16">
        <v>0.00060396372095562875</v>
      </c>
      <c r="J10" s="14" t="s">
        <v>24</v>
      </c>
    </row>
    <row r="11">
      <c r="B11" s="14">
        <v>2</v>
      </c>
      <c r="C11" s="23" t="s">
        <v>605</v>
      </c>
      <c r="D11" s="24">
        <v>0.0544</v>
      </c>
      <c r="E11" s="15">
        <v>67104109</v>
      </c>
      <c r="F11" s="15">
        <v>67227689</v>
      </c>
      <c r="G11" s="14" t="s">
        <v>19</v>
      </c>
      <c r="H11" s="16">
        <v>0.00141839443125188</v>
      </c>
      <c r="I11" s="16">
        <v>0.0015255327751257958</v>
      </c>
      <c r="J11" s="14" t="s">
        <v>19</v>
      </c>
    </row>
    <row r="12">
      <c r="B12" s="14">
        <v>3</v>
      </c>
      <c r="C12" s="23" t="s">
        <v>606</v>
      </c>
      <c r="D12" s="24">
        <v>0.1297</v>
      </c>
      <c r="E12" s="15">
        <v>3179203499</v>
      </c>
      <c r="F12" s="15">
        <v>3176754190</v>
      </c>
      <c r="G12" s="14" t="s">
        <v>20</v>
      </c>
      <c r="H12" s="16">
        <v>0.00143358995836891</v>
      </c>
      <c r="I12" s="16">
        <v>0.0015378560664023118</v>
      </c>
      <c r="J12" s="14" t="s">
        <v>19</v>
      </c>
    </row>
    <row r="13">
      <c r="B13" s="14">
        <v>4</v>
      </c>
      <c r="C13" s="23" t="s">
        <v>607</v>
      </c>
      <c r="D13" s="24">
        <v>0.0755</v>
      </c>
      <c r="E13" s="15">
        <v>3576212869</v>
      </c>
      <c r="F13" s="15">
        <v>3576212869</v>
      </c>
      <c r="G13" s="14" t="s">
        <v>24</v>
      </c>
      <c r="H13" s="16">
        <v>0.00062305477552083</v>
      </c>
      <c r="I13" s="16">
        <v>0.00066888535191324955</v>
      </c>
      <c r="J13" s="14" t="s">
        <v>19</v>
      </c>
    </row>
    <row r="14">
      <c r="B14" s="14">
        <v>5</v>
      </c>
      <c r="C14" s="23" t="s">
        <v>608</v>
      </c>
      <c r="D14" s="24">
        <v>0.2554</v>
      </c>
      <c r="E14" s="15">
        <v>1202950000</v>
      </c>
      <c r="F14" s="15">
        <v>1251460000</v>
      </c>
      <c r="G14" s="14" t="s">
        <v>19</v>
      </c>
      <c r="H14" s="16">
        <v>0.00031745250318186</v>
      </c>
      <c r="I14" s="16">
        <v>0.00035454683152514227</v>
      </c>
      <c r="J14" s="14" t="s">
        <v>19</v>
      </c>
    </row>
    <row r="15">
      <c r="B15" s="14">
        <v>6</v>
      </c>
      <c r="C15" s="23" t="s">
        <v>609</v>
      </c>
      <c r="D15" s="24">
        <v>0.1001</v>
      </c>
      <c r="E15" s="15">
        <v>504656649</v>
      </c>
      <c r="F15" s="15">
        <v>500655407</v>
      </c>
      <c r="G15" s="14" t="s">
        <v>20</v>
      </c>
      <c r="H15" s="16">
        <v>0.00053529143621915</v>
      </c>
      <c r="I15" s="16">
        <v>0.00057011000517344194</v>
      </c>
      <c r="J15" s="14" t="s">
        <v>19</v>
      </c>
    </row>
    <row r="16">
      <c r="B16" s="14">
        <v>7</v>
      </c>
      <c r="C16" s="23" t="s">
        <v>610</v>
      </c>
      <c r="D16" s="24">
        <v>0.0767</v>
      </c>
      <c r="E16" s="15">
        <v>1395731664</v>
      </c>
      <c r="F16" s="15">
        <v>1395731664</v>
      </c>
      <c r="G16" s="14" t="s">
        <v>24</v>
      </c>
      <c r="H16" s="16">
        <v>0.00069374140543942</v>
      </c>
      <c r="I16" s="16">
        <v>0.00074477153921720309</v>
      </c>
      <c r="J16" s="14" t="s">
        <v>24</v>
      </c>
    </row>
    <row r="17">
      <c r="B17" s="14">
        <v>8</v>
      </c>
      <c r="C17" s="23" t="s">
        <v>611</v>
      </c>
      <c r="D17" s="24">
        <v>0.0861</v>
      </c>
      <c r="E17" s="15">
        <v>196888905</v>
      </c>
      <c r="F17" s="15">
        <v>191333349</v>
      </c>
      <c r="G17" s="14" t="s">
        <v>20</v>
      </c>
      <c r="H17" s="16">
        <v>0.00015234287291136</v>
      </c>
      <c r="I17" s="16">
        <v>0.00015893407779459635</v>
      </c>
      <c r="J17" s="14" t="s">
        <v>24</v>
      </c>
    </row>
    <row r="18" s="7" customFormat="1">
      <c r="B18" s="14">
        <v>9</v>
      </c>
      <c r="C18" s="23" t="s">
        <v>612</v>
      </c>
      <c r="D18" s="24">
        <v>0.6277</v>
      </c>
      <c r="E18" s="15">
        <v>7385714976</v>
      </c>
      <c r="F18" s="15">
        <v>7385714976</v>
      </c>
      <c r="G18" s="14" t="s">
        <v>24</v>
      </c>
      <c r="H18" s="16">
        <v>0.021855889316525802</v>
      </c>
      <c r="I18" s="16">
        <v>0.023463561776693995</v>
      </c>
      <c r="J18" s="14" t="s">
        <v>19</v>
      </c>
    </row>
    <row r="19" s="7" customFormat="1">
      <c r="B19" s="14">
        <v>10</v>
      </c>
      <c r="C19" s="23" t="s">
        <v>613</v>
      </c>
      <c r="D19" s="24">
        <v>0.2721</v>
      </c>
      <c r="E19" s="15">
        <v>3695541530</v>
      </c>
      <c r="F19" s="15">
        <v>3733965282</v>
      </c>
      <c r="G19" s="14" t="s">
        <v>19</v>
      </c>
      <c r="H19" s="16">
        <v>0.012876888947865699</v>
      </c>
      <c r="I19" s="16">
        <v>0.013967818877626839</v>
      </c>
      <c r="J19" s="14" t="s">
        <v>19</v>
      </c>
    </row>
    <row r="20">
      <c r="B20" s="14">
        <v>11</v>
      </c>
      <c r="C20" s="23" t="s">
        <v>614</v>
      </c>
      <c r="D20" s="24">
        <v>0.145</v>
      </c>
      <c r="E20" s="15">
        <v>50516038</v>
      </c>
      <c r="F20" s="15">
        <v>50516038</v>
      </c>
      <c r="G20" s="14" t="s">
        <v>24</v>
      </c>
      <c r="H20" s="16">
        <v>5.487683966807E-05</v>
      </c>
      <c r="I20" s="16">
        <v>5.8913463101693092E-05</v>
      </c>
      <c r="J20" s="14" t="s">
        <v>24</v>
      </c>
    </row>
    <row r="21">
      <c r="B21" s="14">
        <v>12</v>
      </c>
      <c r="C21" s="23" t="s">
        <v>615</v>
      </c>
      <c r="D21" s="24">
        <v>0.1368</v>
      </c>
      <c r="E21" s="15">
        <v>52531200</v>
      </c>
      <c r="F21" s="15">
        <v>52531200</v>
      </c>
      <c r="G21" s="14" t="s">
        <v>24</v>
      </c>
      <c r="H21" s="16">
        <v>8.142666564246E-05</v>
      </c>
      <c r="I21" s="16">
        <v>8.7416236959962412E-05</v>
      </c>
      <c r="J21" s="14" t="s">
        <v>24</v>
      </c>
    </row>
    <row r="22">
      <c r="B22" s="14">
        <v>13</v>
      </c>
      <c r="C22" s="23" t="s">
        <v>616</v>
      </c>
      <c r="D22" s="24">
        <v>0.226</v>
      </c>
      <c r="E22" s="15">
        <v>316400000</v>
      </c>
      <c r="F22" s="15">
        <v>316400000</v>
      </c>
      <c r="G22" s="14" t="s">
        <v>24</v>
      </c>
      <c r="H22" s="16">
        <v>0.00015077987321019</v>
      </c>
      <c r="I22" s="16">
        <v>0.00016187091809959932</v>
      </c>
      <c r="J22" s="14" t="s">
        <v>24</v>
      </c>
    </row>
    <row r="23">
      <c r="B23" s="14">
        <v>14</v>
      </c>
      <c r="C23" s="23" t="s">
        <v>617</v>
      </c>
      <c r="D23" s="24">
        <v>0.591</v>
      </c>
      <c r="E23" s="15">
        <v>5287236147</v>
      </c>
      <c r="F23" s="15">
        <v>5294402852</v>
      </c>
      <c r="G23" s="14" t="s">
        <v>19</v>
      </c>
      <c r="H23" s="16">
        <v>0.00024383450793513</v>
      </c>
      <c r="I23" s="16">
        <v>0.00026212527540262897</v>
      </c>
      <c r="J23" s="14" t="s">
        <v>19</v>
      </c>
    </row>
    <row r="24">
      <c r="B24" s="14">
        <v>15</v>
      </c>
      <c r="C24" s="23" t="s">
        <v>618</v>
      </c>
      <c r="D24" s="24">
        <v>0.0887</v>
      </c>
      <c r="E24" s="15">
        <v>113357894</v>
      </c>
      <c r="F24" s="15">
        <v>113357894</v>
      </c>
      <c r="G24" s="14" t="s">
        <v>24</v>
      </c>
      <c r="H24" s="16">
        <v>8.1321195569009991E-05</v>
      </c>
      <c r="I24" s="16">
        <v>8.73030084202492E-05</v>
      </c>
      <c r="J24" s="14" t="s">
        <v>24</v>
      </c>
    </row>
    <row r="25">
      <c r="B25" s="14">
        <v>16</v>
      </c>
      <c r="C25" s="23" t="s">
        <v>619</v>
      </c>
      <c r="D25" s="24">
        <v>0.1271</v>
      </c>
      <c r="E25" s="15">
        <v>5603024607</v>
      </c>
      <c r="F25" s="15">
        <v>5594221740</v>
      </c>
      <c r="G25" s="14" t="s">
        <v>20</v>
      </c>
      <c r="H25" s="16">
        <v>0.00071777196062984994</v>
      </c>
      <c r="I25" s="16">
        <v>0.00076935909454945318</v>
      </c>
      <c r="J25" s="14" t="s">
        <v>19</v>
      </c>
    </row>
    <row r="26">
      <c r="B26" s="14">
        <v>17</v>
      </c>
      <c r="C26" s="23" t="s">
        <v>620</v>
      </c>
      <c r="D26" s="24">
        <v>0.2556</v>
      </c>
      <c r="E26" s="15">
        <v>4997634143</v>
      </c>
      <c r="F26" s="15">
        <v>5048993229</v>
      </c>
      <c r="G26" s="14" t="s">
        <v>19</v>
      </c>
      <c r="H26" s="16">
        <v>0.00166456886471828</v>
      </c>
      <c r="I26" s="16">
        <v>0.0018053755289443693</v>
      </c>
      <c r="J26" s="14" t="s">
        <v>19</v>
      </c>
    </row>
    <row r="27">
      <c r="B27" s="14">
        <v>18</v>
      </c>
      <c r="C27" s="23" t="s">
        <v>621</v>
      </c>
      <c r="D27" s="24">
        <v>0.4427</v>
      </c>
      <c r="E27" s="15">
        <v>4801846394</v>
      </c>
      <c r="F27" s="15">
        <v>6548938532</v>
      </c>
      <c r="G27" s="14" t="s">
        <v>19</v>
      </c>
      <c r="H27" s="16">
        <v>0.0052901827328056808</v>
      </c>
      <c r="I27" s="16">
        <v>0.0077456662634027267</v>
      </c>
      <c r="J27" s="14" t="s">
        <v>19</v>
      </c>
    </row>
    <row r="28">
      <c r="B28" s="14">
        <v>19</v>
      </c>
      <c r="C28" s="23" t="s">
        <v>622</v>
      </c>
      <c r="D28" s="24">
        <v>0.4259</v>
      </c>
      <c r="E28" s="15">
        <v>4791544074</v>
      </c>
      <c r="F28" s="15">
        <v>4847516831</v>
      </c>
      <c r="G28" s="14" t="s">
        <v>19</v>
      </c>
      <c r="H28" s="16">
        <v>0.0828653968999615</v>
      </c>
      <c r="I28" s="16">
        <v>0.09</v>
      </c>
      <c r="J28" s="14" t="s">
        <v>19</v>
      </c>
    </row>
    <row r="29">
      <c r="B29" s="14">
        <v>20</v>
      </c>
      <c r="C29" s="23" t="s">
        <v>623</v>
      </c>
      <c r="D29" s="24">
        <v>0.1113</v>
      </c>
      <c r="E29" s="15">
        <v>2146992797</v>
      </c>
      <c r="F29" s="15">
        <v>2394391767</v>
      </c>
      <c r="G29" s="14" t="s">
        <v>19</v>
      </c>
      <c r="H29" s="16">
        <v>0.00706850663213119</v>
      </c>
      <c r="I29" s="16">
        <v>0.0084628715470518156</v>
      </c>
      <c r="J29" s="14" t="s">
        <v>19</v>
      </c>
    </row>
    <row r="30">
      <c r="B30" s="14">
        <v>21</v>
      </c>
      <c r="C30" s="23" t="s">
        <v>624</v>
      </c>
      <c r="D30" s="24">
        <v>0.1563</v>
      </c>
      <c r="E30" s="15">
        <v>29043648002</v>
      </c>
      <c r="F30" s="15">
        <v>29043648002</v>
      </c>
      <c r="G30" s="14" t="s">
        <v>24</v>
      </c>
      <c r="H30" s="16">
        <v>0.00446474202041397</v>
      </c>
      <c r="I30" s="16">
        <v>0.0047931588914653135</v>
      </c>
      <c r="J30" s="14" t="s">
        <v>19</v>
      </c>
    </row>
    <row r="31">
      <c r="B31" s="14">
        <v>22</v>
      </c>
      <c r="C31" s="23" t="s">
        <v>625</v>
      </c>
      <c r="D31" s="24">
        <v>0.264</v>
      </c>
      <c r="E31" s="15">
        <v>434819317</v>
      </c>
      <c r="F31" s="15">
        <v>434490158</v>
      </c>
      <c r="G31" s="14" t="s">
        <v>20</v>
      </c>
      <c r="H31" s="16">
        <v>0.00085224452403465</v>
      </c>
      <c r="I31" s="16">
        <v>0.00091424120191088384</v>
      </c>
      <c r="J31" s="14" t="s">
        <v>24</v>
      </c>
    </row>
    <row r="32">
      <c r="B32" s="14">
        <v>23</v>
      </c>
      <c r="C32" s="23" t="s">
        <v>626</v>
      </c>
      <c r="D32" s="24">
        <v>0.0898</v>
      </c>
      <c r="E32" s="15">
        <v>363617181</v>
      </c>
      <c r="F32" s="15">
        <v>363617181</v>
      </c>
      <c r="G32" s="14" t="s">
        <v>24</v>
      </c>
      <c r="H32" s="16">
        <v>0.00181199900955301</v>
      </c>
      <c r="I32" s="16">
        <v>0.0019452857810023077</v>
      </c>
      <c r="J32" s="14" t="s">
        <v>19</v>
      </c>
    </row>
    <row r="33">
      <c r="B33" s="14">
        <v>24</v>
      </c>
      <c r="C33" s="23" t="s">
        <v>627</v>
      </c>
      <c r="D33" s="24">
        <v>0.3912</v>
      </c>
      <c r="E33" s="15">
        <v>8943121645</v>
      </c>
      <c r="F33" s="15">
        <v>7574245049</v>
      </c>
      <c r="G33" s="14" t="s">
        <v>20</v>
      </c>
      <c r="H33" s="16">
        <v>0.0989844193110179</v>
      </c>
      <c r="I33" s="16">
        <v>0.09</v>
      </c>
      <c r="J33" s="14" t="s">
        <v>20</v>
      </c>
    </row>
    <row r="34">
      <c r="B34" s="14">
        <v>25</v>
      </c>
      <c r="C34" s="23" t="s">
        <v>628</v>
      </c>
      <c r="D34" s="24">
        <v>0.4662</v>
      </c>
      <c r="E34" s="15">
        <v>10362664763</v>
      </c>
      <c r="F34" s="15">
        <v>9402511095</v>
      </c>
      <c r="G34" s="14" t="s">
        <v>20</v>
      </c>
      <c r="H34" s="16">
        <v>0.092394186806124</v>
      </c>
      <c r="I34" s="16">
        <v>0.09</v>
      </c>
      <c r="J34" s="14" t="s">
        <v>20</v>
      </c>
    </row>
    <row r="35">
      <c r="B35" s="14">
        <v>26</v>
      </c>
      <c r="C35" s="23" t="s">
        <v>629</v>
      </c>
      <c r="D35" s="24">
        <v>0.2433</v>
      </c>
      <c r="E35" s="15">
        <v>885119577</v>
      </c>
      <c r="F35" s="15">
        <v>885119577</v>
      </c>
      <c r="G35" s="14" t="s">
        <v>24</v>
      </c>
      <c r="H35" s="16">
        <v>0.0106584428092383</v>
      </c>
      <c r="I35" s="16">
        <v>0.011442455063679033</v>
      </c>
      <c r="J35" s="14" t="s">
        <v>19</v>
      </c>
    </row>
    <row r="36">
      <c r="B36" s="14">
        <v>27</v>
      </c>
      <c r="C36" s="23" t="s">
        <v>630</v>
      </c>
      <c r="D36" s="24">
        <v>0.3524</v>
      </c>
      <c r="E36" s="15">
        <v>5593764648</v>
      </c>
      <c r="F36" s="15">
        <v>4896280829</v>
      </c>
      <c r="G36" s="14" t="s">
        <v>20</v>
      </c>
      <c r="H36" s="16">
        <v>0.0179146429844373</v>
      </c>
      <c r="I36" s="16">
        <v>0.016834326382572058</v>
      </c>
      <c r="J36" s="14" t="s">
        <v>20</v>
      </c>
    </row>
    <row r="37">
      <c r="B37" s="14">
        <v>28</v>
      </c>
      <c r="C37" s="23" t="s">
        <v>631</v>
      </c>
      <c r="D37" s="24">
        <v>0.4938</v>
      </c>
      <c r="E37" s="15">
        <v>6896618872</v>
      </c>
      <c r="F37" s="15">
        <v>6526543501</v>
      </c>
      <c r="G37" s="14" t="s">
        <v>20</v>
      </c>
      <c r="H37" s="16">
        <v>0.0048768484848252906</v>
      </c>
      <c r="I37" s="16">
        <v>0.0049546357276451809</v>
      </c>
      <c r="J37" s="14" t="s">
        <v>19</v>
      </c>
    </row>
    <row r="38">
      <c r="B38" s="14">
        <v>29</v>
      </c>
      <c r="C38" s="23" t="s">
        <v>632</v>
      </c>
      <c r="D38" s="24">
        <v>0.3606</v>
      </c>
      <c r="E38" s="15">
        <v>8685721819</v>
      </c>
      <c r="F38" s="15">
        <v>15368357644</v>
      </c>
      <c r="G38" s="14" t="s">
        <v>19</v>
      </c>
      <c r="H38" s="16">
        <v>0.00111267895766874</v>
      </c>
      <c r="I38" s="16">
        <v>0.0021135711580227015</v>
      </c>
      <c r="J38" s="14" t="s">
        <v>19</v>
      </c>
    </row>
    <row r="39">
      <c r="B39" s="14">
        <v>30</v>
      </c>
      <c r="C39" s="23" t="s">
        <v>633</v>
      </c>
      <c r="D39" s="24">
        <v>0.1265</v>
      </c>
      <c r="E39" s="15">
        <v>1389270506</v>
      </c>
      <c r="F39" s="15">
        <v>2267647987</v>
      </c>
      <c r="G39" s="14" t="s">
        <v>19</v>
      </c>
      <c r="H39" s="16">
        <v>0.00044492907174236</v>
      </c>
      <c r="I39" s="16">
        <v>0.00077965965722334046</v>
      </c>
      <c r="J39" s="14" t="s">
        <v>19</v>
      </c>
    </row>
    <row r="40">
      <c r="B40" s="14">
        <v>31</v>
      </c>
      <c r="C40" s="23" t="s">
        <v>634</v>
      </c>
      <c r="D40" s="24">
        <v>0.0754</v>
      </c>
      <c r="E40" s="15">
        <v>729556628</v>
      </c>
      <c r="F40" s="15">
        <v>729556628</v>
      </c>
      <c r="G40" s="14" t="s">
        <v>24</v>
      </c>
      <c r="H40" s="16">
        <v>0.00463558600377122</v>
      </c>
      <c r="I40" s="16">
        <v>0.0049765697893349239</v>
      </c>
      <c r="J40" s="14" t="s">
        <v>19</v>
      </c>
    </row>
    <row r="41">
      <c r="B41" s="14">
        <v>32</v>
      </c>
      <c r="C41" s="23" t="s">
        <v>635</v>
      </c>
      <c r="D41" s="24">
        <v>0.3413</v>
      </c>
      <c r="E41" s="15">
        <v>17526346774</v>
      </c>
      <c r="F41" s="15">
        <v>17526346774</v>
      </c>
      <c r="G41" s="14" t="s">
        <v>24</v>
      </c>
      <c r="H41" s="16">
        <v>0.00116750487600693</v>
      </c>
      <c r="I41" s="16">
        <v>0.0012533840369028943</v>
      </c>
      <c r="J41" s="14" t="s">
        <v>19</v>
      </c>
    </row>
    <row r="42">
      <c r="B42" s="14">
        <v>33</v>
      </c>
      <c r="C42" s="23" t="s">
        <v>636</v>
      </c>
      <c r="D42" s="24">
        <v>0.4469</v>
      </c>
      <c r="E42" s="15">
        <v>6755691122</v>
      </c>
      <c r="F42" s="15">
        <v>6721100540</v>
      </c>
      <c r="G42" s="14" t="s">
        <v>20</v>
      </c>
      <c r="H42" s="16">
        <v>0.0127218736721317</v>
      </c>
      <c r="I42" s="16">
        <v>0.013587737305693411</v>
      </c>
      <c r="J42" s="14" t="s">
        <v>19</v>
      </c>
    </row>
    <row r="43">
      <c r="B43" s="14">
        <v>34</v>
      </c>
      <c r="C43" s="23" t="s">
        <v>637</v>
      </c>
      <c r="D43" s="24">
        <v>0.3541</v>
      </c>
      <c r="E43" s="15">
        <v>8403248773</v>
      </c>
      <c r="F43" s="15">
        <v>8403248773</v>
      </c>
      <c r="G43" s="14" t="s">
        <v>24</v>
      </c>
      <c r="H43" s="16">
        <v>0.0026051128782495596</v>
      </c>
      <c r="I43" s="16">
        <v>0.0027967394082474774</v>
      </c>
      <c r="J43" s="14" t="s">
        <v>19</v>
      </c>
    </row>
    <row r="44">
      <c r="B44" s="14">
        <v>35</v>
      </c>
      <c r="C44" s="23" t="s">
        <v>638</v>
      </c>
      <c r="D44" s="24">
        <v>0.689</v>
      </c>
      <c r="E44" s="15">
        <v>2242500000</v>
      </c>
      <c r="F44" s="15">
        <v>3445000000</v>
      </c>
      <c r="G44" s="14" t="s">
        <v>19</v>
      </c>
      <c r="H44" s="16">
        <v>0.00804367365291281</v>
      </c>
      <c r="I44" s="16">
        <v>0.01326589858343134</v>
      </c>
      <c r="J44" s="14" t="s">
        <v>19</v>
      </c>
    </row>
    <row r="45">
      <c r="B45" s="14">
        <v>36</v>
      </c>
      <c r="C45" s="23" t="s">
        <v>639</v>
      </c>
      <c r="D45" s="24">
        <v>0.1963</v>
      </c>
      <c r="E45" s="15">
        <v>1192202432</v>
      </c>
      <c r="F45" s="15">
        <v>1192202432</v>
      </c>
      <c r="G45" s="14" t="s">
        <v>24</v>
      </c>
      <c r="H45" s="16">
        <v>0.0135926448306786</v>
      </c>
      <c r="I45" s="16">
        <v>0.014592490709424649</v>
      </c>
      <c r="J45" s="14" t="s">
        <v>19</v>
      </c>
    </row>
    <row r="46">
      <c r="B46" s="14">
        <v>37</v>
      </c>
      <c r="C46" s="23" t="s">
        <v>640</v>
      </c>
      <c r="D46" s="24">
        <v>0.2469</v>
      </c>
      <c r="E46" s="15">
        <v>2571767002</v>
      </c>
      <c r="F46" s="15">
        <v>2571767002</v>
      </c>
      <c r="G46" s="14" t="s">
        <v>24</v>
      </c>
      <c r="H46" s="16">
        <v>0.0052053827155853407</v>
      </c>
      <c r="I46" s="16">
        <v>0.0055882795306425037</v>
      </c>
      <c r="J46" s="14" t="s">
        <v>19</v>
      </c>
    </row>
    <row r="47">
      <c r="B47" s="14">
        <v>38</v>
      </c>
      <c r="C47" s="23" t="s">
        <v>641</v>
      </c>
      <c r="D47" s="24">
        <v>0.207</v>
      </c>
      <c r="E47" s="15">
        <v>3077126022</v>
      </c>
      <c r="F47" s="15">
        <v>3077126022</v>
      </c>
      <c r="G47" s="14" t="s">
        <v>24</v>
      </c>
      <c r="H47" s="16">
        <v>0.00437554566586044</v>
      </c>
      <c r="I47" s="16">
        <v>0.0046974014436981047</v>
      </c>
      <c r="J47" s="14" t="s">
        <v>19</v>
      </c>
    </row>
    <row r="48" s="7" customFormat="1">
      <c r="B48" s="14">
        <v>39</v>
      </c>
      <c r="C48" s="23" t="s">
        <v>642</v>
      </c>
      <c r="D48" s="24">
        <v>0.075</v>
      </c>
      <c r="E48" s="15">
        <v>2610485091</v>
      </c>
      <c r="F48" s="15">
        <v>2610485091</v>
      </c>
      <c r="G48" s="14" t="s">
        <v>24</v>
      </c>
      <c r="H48" s="16">
        <v>0.00037454430586931</v>
      </c>
      <c r="I48" s="16">
        <v>0.000402094983706943</v>
      </c>
      <c r="J48" s="14" t="s">
        <v>24</v>
      </c>
    </row>
    <row r="49" s="7" customFormat="1">
      <c r="B49" s="14">
        <v>40</v>
      </c>
      <c r="C49" s="23" t="s">
        <v>643</v>
      </c>
      <c r="D49" s="24">
        <v>0.1062</v>
      </c>
      <c r="E49" s="15">
        <v>1903277709</v>
      </c>
      <c r="F49" s="15">
        <v>1903277709</v>
      </c>
      <c r="G49" s="14" t="s">
        <v>24</v>
      </c>
      <c r="H49" s="16">
        <v>0.00243818199746131</v>
      </c>
      <c r="I49" s="16">
        <v>0.0026175294491566428</v>
      </c>
      <c r="J49" s="14" t="s">
        <v>19</v>
      </c>
    </row>
    <row r="50">
      <c r="B50" s="14">
        <v>41</v>
      </c>
      <c r="C50" s="23" t="s">
        <v>644</v>
      </c>
      <c r="D50" s="24">
        <v>0.3777</v>
      </c>
      <c r="E50" s="15">
        <v>7605994719</v>
      </c>
      <c r="F50" s="15">
        <v>6961859279</v>
      </c>
      <c r="G50" s="14" t="s">
        <v>20</v>
      </c>
      <c r="H50" s="16">
        <v>0.091589952167366512</v>
      </c>
      <c r="I50" s="16">
        <v>0.09</v>
      </c>
      <c r="J50" s="14" t="s">
        <v>20</v>
      </c>
    </row>
    <row r="51">
      <c r="B51" s="14">
        <v>42</v>
      </c>
      <c r="C51" s="23" t="s">
        <v>645</v>
      </c>
      <c r="D51" s="24">
        <v>0.0822</v>
      </c>
      <c r="E51" s="15">
        <v>272019132</v>
      </c>
      <c r="F51" s="15">
        <v>275708664</v>
      </c>
      <c r="G51" s="14" t="s">
        <v>19</v>
      </c>
      <c r="H51" s="16">
        <v>0.00043210082420675</v>
      </c>
      <c r="I51" s="16">
        <v>0.00047017714464490056</v>
      </c>
      <c r="J51" s="14" t="s">
        <v>19</v>
      </c>
    </row>
    <row r="52">
      <c r="B52" s="14">
        <v>43</v>
      </c>
      <c r="C52" s="23" t="s">
        <v>646</v>
      </c>
      <c r="D52" s="24">
        <v>0.0751</v>
      </c>
      <c r="E52" s="15">
        <v>1869297862</v>
      </c>
      <c r="F52" s="15">
        <v>1869297862</v>
      </c>
      <c r="G52" s="14" t="s">
        <v>24</v>
      </c>
      <c r="H52" s="16">
        <v>0.00833339009839376</v>
      </c>
      <c r="I52" s="16">
        <v>0.008946376446128463</v>
      </c>
      <c r="J52" s="14" t="s">
        <v>19</v>
      </c>
    </row>
    <row r="53">
      <c r="B53" s="14">
        <v>44</v>
      </c>
      <c r="C53" s="23" t="s">
        <v>647</v>
      </c>
      <c r="D53" s="24">
        <v>0.1118</v>
      </c>
      <c r="E53" s="15">
        <v>8319460704</v>
      </c>
      <c r="F53" s="15">
        <v>8424961111</v>
      </c>
      <c r="G53" s="14" t="s">
        <v>19</v>
      </c>
      <c r="H53" s="16">
        <v>0.0042630372270239395</v>
      </c>
      <c r="I53" s="16">
        <v>0.0046346539361887965</v>
      </c>
      <c r="J53" s="14" t="s">
        <v>19</v>
      </c>
    </row>
    <row r="54">
      <c r="B54" s="14">
        <v>45</v>
      </c>
      <c r="C54" s="23" t="s">
        <v>648</v>
      </c>
      <c r="D54" s="24">
        <v>0.0997</v>
      </c>
      <c r="E54" s="15">
        <v>3571208729</v>
      </c>
      <c r="F54" s="15">
        <v>3571208729</v>
      </c>
      <c r="G54" s="14" t="s">
        <v>24</v>
      </c>
      <c r="H54" s="16">
        <v>0.023880845369692597</v>
      </c>
      <c r="I54" s="16">
        <v>0.02563746926154848</v>
      </c>
      <c r="J54" s="14" t="s">
        <v>19</v>
      </c>
    </row>
    <row r="55">
      <c r="B55" s="14">
        <v>46</v>
      </c>
      <c r="C55" s="23" t="s">
        <v>649</v>
      </c>
      <c r="D55" s="24">
        <v>0.1018</v>
      </c>
      <c r="E55" s="15">
        <v>272212728</v>
      </c>
      <c r="F55" s="15">
        <v>272212728</v>
      </c>
      <c r="G55" s="14" t="s">
        <v>24</v>
      </c>
      <c r="H55" s="16">
        <v>0.00019109659353627</v>
      </c>
      <c r="I55" s="16">
        <v>0.00020515325000597026</v>
      </c>
      <c r="J55" s="14" t="s">
        <v>24</v>
      </c>
    </row>
    <row r="56">
      <c r="B56" s="14">
        <v>47</v>
      </c>
      <c r="C56" s="23" t="s">
        <v>650</v>
      </c>
      <c r="D56" s="24">
        <v>0.1012</v>
      </c>
      <c r="E56" s="15">
        <v>1001098402</v>
      </c>
      <c r="F56" s="15">
        <v>1000276308</v>
      </c>
      <c r="G56" s="14" t="s">
        <v>20</v>
      </c>
      <c r="H56" s="16">
        <v>0.00109264811782126</v>
      </c>
      <c r="I56" s="16">
        <v>0.0011720577001436191</v>
      </c>
      <c r="J56" s="14" t="s">
        <v>19</v>
      </c>
    </row>
    <row r="57">
      <c r="B57" s="14">
        <v>48</v>
      </c>
      <c r="C57" s="23" t="s">
        <v>651</v>
      </c>
      <c r="D57" s="24">
        <v>0.0933</v>
      </c>
      <c r="E57" s="15">
        <v>4224278682</v>
      </c>
      <c r="F57" s="15">
        <v>4260812984</v>
      </c>
      <c r="G57" s="14" t="s">
        <v>19</v>
      </c>
      <c r="H57" s="16">
        <v>0.0228364699407534</v>
      </c>
      <c r="I57" s="16">
        <v>0.024728304431206154</v>
      </c>
      <c r="J57" s="14" t="s">
        <v>19</v>
      </c>
    </row>
    <row r="58">
      <c r="B58" s="14">
        <v>49</v>
      </c>
      <c r="C58" s="23" t="s">
        <v>652</v>
      </c>
      <c r="D58" s="24">
        <v>0.2984</v>
      </c>
      <c r="E58" s="15">
        <v>5831955046</v>
      </c>
      <c r="F58" s="15">
        <v>5824147878</v>
      </c>
      <c r="G58" s="14" t="s">
        <v>20</v>
      </c>
      <c r="H58" s="16">
        <v>0.0132236514369825</v>
      </c>
      <c r="I58" s="16">
        <v>0.014177350455249075</v>
      </c>
      <c r="J58" s="14" t="s">
        <v>19</v>
      </c>
    </row>
    <row r="59">
      <c r="B59" s="14">
        <v>50</v>
      </c>
      <c r="C59" s="23" t="s">
        <v>653</v>
      </c>
      <c r="D59" s="24">
        <v>0.0768</v>
      </c>
      <c r="E59" s="15">
        <v>280471924</v>
      </c>
      <c r="F59" s="15">
        <v>280471924</v>
      </c>
      <c r="G59" s="14" t="s">
        <v>24</v>
      </c>
      <c r="H59" s="16">
        <v>0.00097010136785213006</v>
      </c>
      <c r="I59" s="16">
        <v>0.0010414599489775235</v>
      </c>
      <c r="J59" s="14" t="s">
        <v>24</v>
      </c>
    </row>
    <row r="60">
      <c r="B60" s="14">
        <v>51</v>
      </c>
      <c r="C60" s="23" t="s">
        <v>654</v>
      </c>
      <c r="D60" s="24">
        <v>0.0788</v>
      </c>
      <c r="E60" s="15">
        <v>830252851</v>
      </c>
      <c r="F60" s="15">
        <v>830252851</v>
      </c>
      <c r="G60" s="14" t="s">
        <v>24</v>
      </c>
      <c r="H60" s="16">
        <v>0.00425436087456247</v>
      </c>
      <c r="I60" s="16">
        <v>0.0045673025573071142</v>
      </c>
      <c r="J60" s="14" t="s">
        <v>19</v>
      </c>
    </row>
    <row r="61">
      <c r="B61" s="14">
        <v>52</v>
      </c>
      <c r="C61" s="23" t="s">
        <v>655</v>
      </c>
      <c r="D61" s="24">
        <v>0.303</v>
      </c>
      <c r="E61" s="15">
        <v>2310878889</v>
      </c>
      <c r="F61" s="15">
        <v>2310878889</v>
      </c>
      <c r="G61" s="14" t="s">
        <v>24</v>
      </c>
      <c r="H61" s="16">
        <v>0.00612789746193024</v>
      </c>
      <c r="I61" s="16">
        <v>0.0065786524889837883</v>
      </c>
      <c r="J61" s="14" t="s">
        <v>19</v>
      </c>
    </row>
    <row r="62">
      <c r="B62" s="14">
        <v>53</v>
      </c>
      <c r="C62" s="23" t="s">
        <v>656</v>
      </c>
      <c r="D62" s="24">
        <v>0.1854</v>
      </c>
      <c r="E62" s="15">
        <v>2465033076</v>
      </c>
      <c r="F62" s="15">
        <v>3380818456</v>
      </c>
      <c r="G62" s="14" t="s">
        <v>19</v>
      </c>
      <c r="H62" s="16">
        <v>0.00063156303892275</v>
      </c>
      <c r="I62" s="16">
        <v>0.000929910735410132</v>
      </c>
      <c r="J62" s="14" t="s">
        <v>19</v>
      </c>
    </row>
    <row r="63">
      <c r="B63" s="14">
        <v>54</v>
      </c>
      <c r="C63" s="23" t="s">
        <v>657</v>
      </c>
      <c r="D63" s="24">
        <v>0.43</v>
      </c>
      <c r="E63" s="15">
        <v>23353976865</v>
      </c>
      <c r="F63" s="15">
        <v>23424796015</v>
      </c>
      <c r="G63" s="14" t="s">
        <v>19</v>
      </c>
      <c r="H63" s="16">
        <v>0.080178808617820008</v>
      </c>
      <c r="I63" s="16">
        <v>0.086337610924814609</v>
      </c>
      <c r="J63" s="14" t="s">
        <v>19</v>
      </c>
    </row>
    <row r="64">
      <c r="B64" s="14">
        <v>55</v>
      </c>
      <c r="C64" s="23" t="s">
        <v>658</v>
      </c>
      <c r="D64" s="24">
        <v>0.4025</v>
      </c>
      <c r="E64" s="15">
        <v>1603769484</v>
      </c>
      <c r="F64" s="15">
        <v>1603769484</v>
      </c>
      <c r="G64" s="14" t="s">
        <v>24</v>
      </c>
      <c r="H64" s="16">
        <v>0.00130666127514803</v>
      </c>
      <c r="I64" s="16">
        <v>0.0014027764829791134</v>
      </c>
      <c r="J64" s="14" t="s">
        <v>19</v>
      </c>
    </row>
    <row r="65">
      <c r="B65" s="14">
        <v>56</v>
      </c>
      <c r="C65" s="23" t="s">
        <v>659</v>
      </c>
      <c r="D65" s="24">
        <v>0.4305</v>
      </c>
      <c r="E65" s="15">
        <v>6330882373</v>
      </c>
      <c r="F65" s="15">
        <v>6330882373</v>
      </c>
      <c r="G65" s="14" t="s">
        <v>24</v>
      </c>
      <c r="H65" s="16">
        <v>0.0184100115396553</v>
      </c>
      <c r="I65" s="16">
        <v>0.019764212602090481</v>
      </c>
      <c r="J65" s="14" t="s">
        <v>19</v>
      </c>
    </row>
    <row r="66">
      <c r="B66" s="14">
        <v>57</v>
      </c>
      <c r="C66" s="23" t="s">
        <v>660</v>
      </c>
      <c r="D66" s="24">
        <v>0.2463</v>
      </c>
      <c r="E66" s="15">
        <v>169273780</v>
      </c>
      <c r="F66" s="15">
        <v>169273780</v>
      </c>
      <c r="G66" s="14" t="s">
        <v>24</v>
      </c>
      <c r="H66" s="16">
        <v>3.2960761703439996E-05</v>
      </c>
      <c r="I66" s="16">
        <v>3.5385284782567144E-05</v>
      </c>
      <c r="J66" s="14" t="s">
        <v>24</v>
      </c>
    </row>
    <row r="67">
      <c r="B67" s="14">
        <v>58</v>
      </c>
      <c r="C67" s="23" t="s">
        <v>661</v>
      </c>
      <c r="D67" s="24">
        <v>0.0753</v>
      </c>
      <c r="E67" s="15">
        <v>1260830595</v>
      </c>
      <c r="F67" s="15">
        <v>1259158406</v>
      </c>
      <c r="G67" s="14" t="s">
        <v>20</v>
      </c>
      <c r="H67" s="16">
        <v>0.00041671621884843</v>
      </c>
      <c r="I67" s="16">
        <v>0.00044677564494323494</v>
      </c>
      <c r="J67" s="14" t="s">
        <v>24</v>
      </c>
    </row>
    <row r="68">
      <c r="B68" s="14">
        <v>59</v>
      </c>
      <c r="C68" s="23" t="s">
        <v>662</v>
      </c>
      <c r="D68" s="24">
        <v>0.0753</v>
      </c>
      <c r="E68" s="15">
        <v>1260957600</v>
      </c>
      <c r="F68" s="15">
        <v>1068055200</v>
      </c>
      <c r="G68" s="14" t="s">
        <v>20</v>
      </c>
      <c r="H68" s="16">
        <v>0.0283492493233048</v>
      </c>
      <c r="I68" s="16">
        <v>0.025778653844142508</v>
      </c>
      <c r="J68" s="14" t="s">
        <v>20</v>
      </c>
    </row>
    <row r="69">
      <c r="B69" s="14">
        <v>60</v>
      </c>
      <c r="C69" s="23" t="s">
        <v>663</v>
      </c>
      <c r="D69" s="24">
        <v>0.3724</v>
      </c>
      <c r="E69" s="15">
        <v>190190000</v>
      </c>
      <c r="F69" s="15">
        <v>484120000</v>
      </c>
      <c r="G69" s="14" t="s">
        <v>19</v>
      </c>
      <c r="H69" s="16">
        <v>0.00014521045868136999</v>
      </c>
      <c r="I69" s="16">
        <v>0.00039681556562695669</v>
      </c>
      <c r="J69" s="14" t="s">
        <v>19</v>
      </c>
    </row>
    <row r="70">
      <c r="B70" s="14">
        <v>61</v>
      </c>
      <c r="C70" s="23" t="s">
        <v>664</v>
      </c>
      <c r="D70" s="24">
        <v>0.3018</v>
      </c>
      <c r="E70" s="15">
        <v>4294734631</v>
      </c>
      <c r="F70" s="15">
        <v>4294734631</v>
      </c>
      <c r="G70" s="14" t="s">
        <v>24</v>
      </c>
      <c r="H70" s="16">
        <v>0.00091328932479791</v>
      </c>
      <c r="I70" s="16">
        <v>0.00098046893359866666</v>
      </c>
      <c r="J70" s="14" t="s">
        <v>19</v>
      </c>
    </row>
    <row r="71">
      <c r="B71" s="14">
        <v>62</v>
      </c>
      <c r="C71" s="23" t="s">
        <v>665</v>
      </c>
      <c r="D71" s="24">
        <v>0.0762</v>
      </c>
      <c r="E71" s="15">
        <v>498534369</v>
      </c>
      <c r="F71" s="15">
        <v>498534369</v>
      </c>
      <c r="G71" s="14" t="s">
        <v>24</v>
      </c>
      <c r="H71" s="16">
        <v>0.00011367869133324001</v>
      </c>
      <c r="I71" s="16">
        <v>0.00012204065257729635</v>
      </c>
      <c r="J71" s="14" t="s">
        <v>24</v>
      </c>
    </row>
    <row r="72">
      <c r="B72" s="14">
        <v>63</v>
      </c>
      <c r="C72" s="23" t="s">
        <v>666</v>
      </c>
      <c r="D72" s="24">
        <v>0.3942</v>
      </c>
      <c r="E72" s="15">
        <v>7892348675</v>
      </c>
      <c r="F72" s="15">
        <v>7892348675</v>
      </c>
      <c r="G72" s="14" t="s">
        <v>24</v>
      </c>
      <c r="H72" s="16">
        <v>0.00305335405051808</v>
      </c>
      <c r="I72" s="16">
        <v>0.0032779522418856588</v>
      </c>
      <c r="J72" s="14" t="s">
        <v>19</v>
      </c>
    </row>
    <row r="73">
      <c r="B73" s="14">
        <v>64</v>
      </c>
      <c r="C73" s="23" t="s">
        <v>667</v>
      </c>
      <c r="D73" s="24">
        <v>0.2659</v>
      </c>
      <c r="E73" s="15">
        <v>273000000</v>
      </c>
      <c r="F73" s="15">
        <v>265900000</v>
      </c>
      <c r="G73" s="14" t="s">
        <v>20</v>
      </c>
      <c r="H73" s="16">
        <v>0.00013499382739236</v>
      </c>
      <c r="I73" s="16">
        <v>0.00014115460701504</v>
      </c>
      <c r="J73" s="14" t="s">
        <v>24</v>
      </c>
    </row>
    <row r="74">
      <c r="B74" s="14">
        <v>65</v>
      </c>
      <c r="C74" s="23" t="s">
        <v>668</v>
      </c>
      <c r="D74" s="24">
        <v>0.075</v>
      </c>
      <c r="E74" s="15">
        <v>157500000</v>
      </c>
      <c r="F74" s="15">
        <v>157500000</v>
      </c>
      <c r="G74" s="14" t="s">
        <v>24</v>
      </c>
      <c r="H74" s="16">
        <v>0.0027843485721621305</v>
      </c>
      <c r="I74" s="16">
        <v>0.0029891592961940714</v>
      </c>
      <c r="J74" s="14" t="s">
        <v>19</v>
      </c>
    </row>
    <row r="75">
      <c r="B75" s="14">
        <v>66</v>
      </c>
      <c r="C75" s="23" t="s">
        <v>669</v>
      </c>
      <c r="D75" s="24">
        <v>0.0752</v>
      </c>
      <c r="E75" s="15">
        <v>225600000</v>
      </c>
      <c r="F75" s="15">
        <v>225600000</v>
      </c>
      <c r="G75" s="14" t="s">
        <v>24</v>
      </c>
      <c r="H75" s="16">
        <v>0.00034969419638120004</v>
      </c>
      <c r="I75" s="16">
        <v>0.00037541695331855203</v>
      </c>
      <c r="J75" s="14" t="s">
        <v>19</v>
      </c>
    </row>
    <row r="76">
      <c r="B76" s="14">
        <v>67</v>
      </c>
      <c r="C76" s="23" t="s">
        <v>670</v>
      </c>
      <c r="D76" s="24">
        <v>0.3221</v>
      </c>
      <c r="E76" s="15">
        <v>833675325</v>
      </c>
      <c r="F76" s="15">
        <v>833675325</v>
      </c>
      <c r="G76" s="14" t="s">
        <v>24</v>
      </c>
      <c r="H76" s="16">
        <v>0.00016446808186096999</v>
      </c>
      <c r="I76" s="16">
        <v>0.00017656600209368763</v>
      </c>
      <c r="J76" s="14" t="s">
        <v>24</v>
      </c>
    </row>
    <row r="77">
      <c r="B77" s="14">
        <v>68</v>
      </c>
      <c r="C77" s="23" t="s">
        <v>671</v>
      </c>
      <c r="D77" s="24">
        <v>0.0909</v>
      </c>
      <c r="E77" s="15">
        <v>122953519</v>
      </c>
      <c r="F77" s="15">
        <v>126145314</v>
      </c>
      <c r="G77" s="14" t="s">
        <v>19</v>
      </c>
      <c r="H77" s="16">
        <v>0.0010710600848749601</v>
      </c>
      <c r="I77" s="16">
        <v>0.0011796942204962387</v>
      </c>
      <c r="J77" s="14" t="s">
        <v>19</v>
      </c>
    </row>
    <row r="78" s="7" customFormat="1">
      <c r="B78" s="14">
        <v>69</v>
      </c>
      <c r="C78" s="23" t="s">
        <v>672</v>
      </c>
      <c r="D78" s="24">
        <v>0.2098</v>
      </c>
      <c r="E78" s="15">
        <v>5380713410</v>
      </c>
      <c r="F78" s="15">
        <v>5435116386</v>
      </c>
      <c r="G78" s="14" t="s">
        <v>19</v>
      </c>
      <c r="H78" s="16">
        <v>0.00261931311071171</v>
      </c>
      <c r="I78" s="16">
        <v>0.0028404154106846341</v>
      </c>
      <c r="J78" s="14" t="s">
        <v>19</v>
      </c>
      <c r="K78" s="6"/>
    </row>
    <row r="79" s="7" customFormat="1">
      <c r="B79" s="14">
        <v>70</v>
      </c>
      <c r="C79" s="23" t="s">
        <v>673</v>
      </c>
      <c r="D79" s="24">
        <v>0.1922</v>
      </c>
      <c r="E79" s="15">
        <v>7215290483</v>
      </c>
      <c r="F79" s="15">
        <v>7215290483</v>
      </c>
      <c r="G79" s="14" t="s">
        <v>24</v>
      </c>
      <c r="H79" s="16">
        <v>0.0012755481748619698</v>
      </c>
      <c r="I79" s="16">
        <v>0.0013693747696071085</v>
      </c>
      <c r="J79" s="14" t="s">
        <v>19</v>
      </c>
    </row>
    <row r="80">
      <c r="B80" s="14">
        <v>71</v>
      </c>
      <c r="C80" s="23" t="s">
        <v>674</v>
      </c>
      <c r="D80" s="24">
        <v>0.4239</v>
      </c>
      <c r="E80" s="15">
        <v>4928370320</v>
      </c>
      <c r="F80" s="15">
        <v>4927207968</v>
      </c>
      <c r="G80" s="14" t="s">
        <v>20</v>
      </c>
      <c r="H80" s="16">
        <v>0.051012740270398794</v>
      </c>
      <c r="I80" s="16">
        <v>0.05475221199922653</v>
      </c>
      <c r="J80" s="14" t="s">
        <v>19</v>
      </c>
      <c r="K80" s="7"/>
    </row>
    <row r="81">
      <c r="B81" s="14">
        <v>72</v>
      </c>
      <c r="C81" s="23" t="s">
        <v>675</v>
      </c>
      <c r="D81" s="24">
        <v>0.5346</v>
      </c>
      <c r="E81" s="15">
        <v>277173887</v>
      </c>
      <c r="F81" s="15">
        <v>276811433</v>
      </c>
      <c r="G81" s="14" t="s">
        <v>20</v>
      </c>
      <c r="H81" s="16">
        <v>0.00069949159030267989</v>
      </c>
      <c r="I81" s="16">
        <v>0.00074996270092262882</v>
      </c>
      <c r="J81" s="14" t="s">
        <v>24</v>
      </c>
    </row>
    <row r="82">
      <c r="B82" s="14">
        <v>73</v>
      </c>
      <c r="C82" s="23" t="s">
        <v>676</v>
      </c>
      <c r="D82" s="24">
        <v>0.0772</v>
      </c>
      <c r="E82" s="15">
        <v>225770369</v>
      </c>
      <c r="F82" s="15">
        <v>225770369</v>
      </c>
      <c r="G82" s="14" t="s">
        <v>24</v>
      </c>
      <c r="H82" s="16">
        <v>0.00019204322090129002</v>
      </c>
      <c r="I82" s="16">
        <v>0.0002061695089380895</v>
      </c>
      <c r="J82" s="14" t="s">
        <v>24</v>
      </c>
    </row>
    <row r="83">
      <c r="B83" s="14">
        <v>74</v>
      </c>
      <c r="C83" s="23" t="s">
        <v>677</v>
      </c>
      <c r="D83" s="24">
        <v>0.1697</v>
      </c>
      <c r="E83" s="15">
        <v>130099770</v>
      </c>
      <c r="F83" s="15">
        <v>110500155</v>
      </c>
      <c r="G83" s="14" t="s">
        <v>20</v>
      </c>
      <c r="H83" s="16">
        <v>0.00037499286629205</v>
      </c>
      <c r="I83" s="16">
        <v>0.000341928121686476</v>
      </c>
      <c r="J83" s="14" t="s">
        <v>20</v>
      </c>
    </row>
    <row r="84">
      <c r="B84" s="14">
        <v>75</v>
      </c>
      <c r="C84" s="23" t="s">
        <v>678</v>
      </c>
      <c r="D84" s="24">
        <v>0.1398</v>
      </c>
      <c r="E84" s="15">
        <v>3146134980</v>
      </c>
      <c r="F84" s="15">
        <v>3175665489</v>
      </c>
      <c r="G84" s="14" t="s">
        <v>19</v>
      </c>
      <c r="H84" s="16">
        <v>0.011607369195054</v>
      </c>
      <c r="I84" s="16">
        <v>0.012578146608847868</v>
      </c>
      <c r="J84" s="14" t="s">
        <v>19</v>
      </c>
    </row>
    <row r="85">
      <c r="B85" s="14">
        <v>76</v>
      </c>
      <c r="C85" s="23" t="s">
        <v>679</v>
      </c>
      <c r="D85" s="24">
        <v>0.0756</v>
      </c>
      <c r="E85" s="15">
        <v>559716655</v>
      </c>
      <c r="F85" s="15">
        <v>559716655</v>
      </c>
      <c r="G85" s="14" t="s">
        <v>24</v>
      </c>
      <c r="H85" s="16">
        <v>0.00082457474558973991</v>
      </c>
      <c r="I85" s="16">
        <v>0.00088522870002856707</v>
      </c>
      <c r="J85" s="14" t="s">
        <v>19</v>
      </c>
    </row>
    <row r="86">
      <c r="B86" s="14">
        <v>77</v>
      </c>
      <c r="C86" s="23" t="s">
        <v>680</v>
      </c>
      <c r="D86" s="24">
        <v>0.0376</v>
      </c>
      <c r="E86" s="15">
        <v>11556360</v>
      </c>
      <c r="F86" s="15">
        <v>10272320</v>
      </c>
      <c r="G86" s="14" t="s">
        <v>20</v>
      </c>
      <c r="H86" s="16">
        <v>4.70773644352E-06</v>
      </c>
      <c r="I86" s="16">
        <v>4.4924688572490131E-06</v>
      </c>
      <c r="J86" s="14" t="s">
        <v>24</v>
      </c>
    </row>
    <row r="87">
      <c r="B87" s="14">
        <v>78</v>
      </c>
      <c r="C87" s="23" t="s">
        <v>681</v>
      </c>
      <c r="D87" s="24">
        <v>0.9405</v>
      </c>
      <c r="E87" s="15">
        <v>10634465356</v>
      </c>
      <c r="F87" s="15">
        <v>10634465356</v>
      </c>
      <c r="G87" s="14" t="s">
        <v>24</v>
      </c>
      <c r="H87" s="16">
        <v>0.0024794251825180098</v>
      </c>
      <c r="I87" s="16">
        <v>0.0026618063943273339</v>
      </c>
      <c r="J87" s="14" t="s">
        <v>19</v>
      </c>
    </row>
    <row r="88">
      <c r="B88" s="14">
        <v>79</v>
      </c>
      <c r="C88" s="23" t="s">
        <v>682</v>
      </c>
      <c r="D88" s="24">
        <v>0.0855</v>
      </c>
      <c r="E88" s="15">
        <v>1345160766</v>
      </c>
      <c r="F88" s="15">
        <v>1345160766</v>
      </c>
      <c r="G88" s="14" t="s">
        <v>24</v>
      </c>
      <c r="H88" s="16">
        <v>0.0012131396855445098</v>
      </c>
      <c r="I88" s="16">
        <v>0.0013023756455320722</v>
      </c>
      <c r="J88" s="14" t="s">
        <v>19</v>
      </c>
    </row>
    <row r="89">
      <c r="B89" s="14">
        <v>80</v>
      </c>
      <c r="C89" s="23" t="s">
        <v>683</v>
      </c>
      <c r="D89" s="24">
        <v>0.3066</v>
      </c>
      <c r="E89" s="15">
        <v>220752000</v>
      </c>
      <c r="F89" s="15">
        <v>220752000</v>
      </c>
      <c r="G89" s="14" t="s">
        <v>24</v>
      </c>
      <c r="H89" s="16">
        <v>0.00094735644288313</v>
      </c>
      <c r="I89" s="16">
        <v>0.0010170419560128837</v>
      </c>
      <c r="J89" s="14" t="s">
        <v>19</v>
      </c>
    </row>
    <row r="90">
      <c r="B90" s="14">
        <v>81</v>
      </c>
      <c r="C90" s="23" t="s">
        <v>684</v>
      </c>
      <c r="D90" s="24">
        <v>0.2848</v>
      </c>
      <c r="E90" s="15">
        <v>654235998</v>
      </c>
      <c r="F90" s="15">
        <v>806957178</v>
      </c>
      <c r="G90" s="14" t="s">
        <v>19</v>
      </c>
      <c r="H90" s="16">
        <v>0.00026148873838011</v>
      </c>
      <c r="I90" s="16">
        <v>0.00034625375995259438</v>
      </c>
      <c r="J90" s="14" t="s">
        <v>24</v>
      </c>
    </row>
    <row r="91">
      <c r="B91" s="14">
        <v>82</v>
      </c>
      <c r="C91" s="23" t="s">
        <v>685</v>
      </c>
      <c r="D91" s="24">
        <v>0.8444</v>
      </c>
      <c r="E91" s="15">
        <v>999938480</v>
      </c>
      <c r="F91" s="15">
        <v>999938480</v>
      </c>
      <c r="G91" s="14" t="s">
        <v>24</v>
      </c>
      <c r="H91" s="16">
        <v>0.00012809649316945</v>
      </c>
      <c r="I91" s="16">
        <v>0.00013751899715271082</v>
      </c>
      <c r="J91" s="14" t="s">
        <v>24</v>
      </c>
    </row>
    <row r="92">
      <c r="B92" s="14">
        <v>83</v>
      </c>
      <c r="C92" s="23" t="s">
        <v>686</v>
      </c>
      <c r="D92" s="24">
        <v>0.1237</v>
      </c>
      <c r="E92" s="15">
        <v>2822377286</v>
      </c>
      <c r="F92" s="15">
        <v>2948716810</v>
      </c>
      <c r="G92" s="14" t="s">
        <v>19</v>
      </c>
      <c r="H92" s="16">
        <v>0.0070865539664590506</v>
      </c>
      <c r="I92" s="16">
        <v>0.0079483787246627767</v>
      </c>
      <c r="J92" s="14" t="s">
        <v>19</v>
      </c>
    </row>
    <row r="93">
      <c r="B93" s="14">
        <v>84</v>
      </c>
      <c r="C93" s="23" t="s">
        <v>687</v>
      </c>
      <c r="D93" s="24">
        <v>0.0768</v>
      </c>
      <c r="E93" s="15">
        <v>2951078777</v>
      </c>
      <c r="F93" s="15">
        <v>2951078777</v>
      </c>
      <c r="G93" s="14" t="s">
        <v>24</v>
      </c>
      <c r="H93" s="16">
        <v>0.00037804609979654</v>
      </c>
      <c r="I93" s="16">
        <v>0.00040585436206189813</v>
      </c>
      <c r="J93" s="14" t="s">
        <v>24</v>
      </c>
    </row>
    <row r="94">
      <c r="B94" s="14">
        <v>85</v>
      </c>
      <c r="C94" s="23" t="s">
        <v>688</v>
      </c>
      <c r="D94" s="24">
        <v>0.2814</v>
      </c>
      <c r="E94" s="15">
        <v>1144826351</v>
      </c>
      <c r="F94" s="15">
        <v>1144826351</v>
      </c>
      <c r="G94" s="14" t="s">
        <v>24</v>
      </c>
      <c r="H94" s="16">
        <v>0.00221452467440922</v>
      </c>
      <c r="I94" s="16">
        <v>0.00237742037180712</v>
      </c>
      <c r="J94" s="14" t="s">
        <v>19</v>
      </c>
    </row>
    <row r="95">
      <c r="B95" s="14">
        <v>86</v>
      </c>
      <c r="C95" s="23" t="s">
        <v>689</v>
      </c>
      <c r="D95" s="24">
        <v>0.3214</v>
      </c>
      <c r="E95" s="15">
        <v>10189423722</v>
      </c>
      <c r="F95" s="15">
        <v>10291894356</v>
      </c>
      <c r="G95" s="14" t="s">
        <v>19</v>
      </c>
      <c r="H95" s="16">
        <v>0.00605663723471755</v>
      </c>
      <c r="I95" s="16">
        <v>0.006567539831850544</v>
      </c>
      <c r="J95" s="14" t="s">
        <v>19</v>
      </c>
    </row>
    <row r="96">
      <c r="B96" s="14">
        <v>87</v>
      </c>
      <c r="C96" s="23" t="s">
        <v>690</v>
      </c>
      <c r="D96" s="24">
        <v>0.1599</v>
      </c>
      <c r="E96" s="15">
        <v>535836988</v>
      </c>
      <c r="F96" s="15">
        <v>535836988</v>
      </c>
      <c r="G96" s="14" t="s">
        <v>24</v>
      </c>
      <c r="H96" s="16">
        <v>0.00010159173175179</v>
      </c>
      <c r="I96" s="16">
        <v>0.00010906460227997655</v>
      </c>
      <c r="J96" s="14" t="s">
        <v>24</v>
      </c>
    </row>
    <row r="97">
      <c r="B97" s="14">
        <v>88</v>
      </c>
      <c r="C97" s="23" t="s">
        <v>691</v>
      </c>
      <c r="D97" s="24">
        <v>0.5826</v>
      </c>
      <c r="E97" s="15">
        <v>1364079985</v>
      </c>
      <c r="F97" s="15">
        <v>1364079985</v>
      </c>
      <c r="G97" s="14" t="s">
        <v>24</v>
      </c>
      <c r="H97" s="16">
        <v>0.00017474461276970998</v>
      </c>
      <c r="I97" s="16">
        <v>0.00018759845268598177</v>
      </c>
      <c r="J97" s="14" t="s">
        <v>24</v>
      </c>
    </row>
    <row r="98">
      <c r="B98" s="14">
        <v>89</v>
      </c>
      <c r="C98" s="23" t="s">
        <v>692</v>
      </c>
      <c r="D98" s="24">
        <v>0.1435</v>
      </c>
      <c r="E98" s="15">
        <v>258300000</v>
      </c>
      <c r="F98" s="15">
        <v>258300000</v>
      </c>
      <c r="G98" s="14" t="s">
        <v>24</v>
      </c>
      <c r="H98" s="16">
        <v>0.00033089359843086</v>
      </c>
      <c r="I98" s="16">
        <v>0.00035523342360567218</v>
      </c>
      <c r="J98" s="14" t="s">
        <v>19</v>
      </c>
    </row>
    <row r="99">
      <c r="B99" s="14">
        <v>90</v>
      </c>
      <c r="C99" s="23" t="s">
        <v>693</v>
      </c>
      <c r="D99" s="24">
        <v>0.0821</v>
      </c>
      <c r="E99" s="15">
        <v>1194166502</v>
      </c>
      <c r="F99" s="15">
        <v>1194166502</v>
      </c>
      <c r="G99" s="14" t="s">
        <v>24</v>
      </c>
      <c r="H99" s="16">
        <v>0.0006975794628083699</v>
      </c>
      <c r="I99" s="16">
        <v>0.000748891915652589</v>
      </c>
      <c r="J99" s="14" t="s">
        <v>24</v>
      </c>
    </row>
    <row r="100">
      <c r="B100" s="14">
        <v>91</v>
      </c>
      <c r="C100" s="23" t="s">
        <v>694</v>
      </c>
      <c r="D100" s="24">
        <v>0.1891</v>
      </c>
      <c r="E100" s="15">
        <v>321760389</v>
      </c>
      <c r="F100" s="15">
        <v>257163523</v>
      </c>
      <c r="G100" s="14" t="s">
        <v>20</v>
      </c>
      <c r="H100" s="16">
        <v>0.0015828062691563998</v>
      </c>
      <c r="I100" s="16">
        <v>0.0013580945517656776</v>
      </c>
      <c r="J100" s="14" t="s">
        <v>20</v>
      </c>
    </row>
    <row r="101">
      <c r="B101" s="14">
        <v>92</v>
      </c>
      <c r="C101" s="23" t="s">
        <v>695</v>
      </c>
      <c r="D101" s="24">
        <v>0.4856</v>
      </c>
      <c r="E101" s="15">
        <v>2990142962</v>
      </c>
      <c r="F101" s="15">
        <v>2001268417</v>
      </c>
      <c r="G101" s="14" t="s">
        <v>20</v>
      </c>
      <c r="H101" s="16">
        <v>0.125257478435028</v>
      </c>
      <c r="I101" s="16">
        <v>0.09</v>
      </c>
      <c r="J101" s="14" t="s">
        <v>20</v>
      </c>
    </row>
    <row r="102">
      <c r="B102" s="14">
        <v>93</v>
      </c>
      <c r="C102" s="23" t="s">
        <v>696</v>
      </c>
      <c r="D102" s="24">
        <v>0.0989</v>
      </c>
      <c r="E102" s="15">
        <v>1417525258</v>
      </c>
      <c r="F102" s="15">
        <v>1341562182</v>
      </c>
      <c r="G102" s="14" t="s">
        <v>20</v>
      </c>
      <c r="H102" s="16">
        <v>0.00582907707119969</v>
      </c>
      <c r="I102" s="16">
        <v>0.0059225025271095128</v>
      </c>
      <c r="J102" s="14" t="s">
        <v>19</v>
      </c>
    </row>
    <row r="103">
      <c r="B103" s="14">
        <v>94</v>
      </c>
      <c r="C103" s="23" t="s">
        <v>697</v>
      </c>
      <c r="D103" s="24">
        <v>0.6781</v>
      </c>
      <c r="E103" s="15">
        <v>3254880408</v>
      </c>
      <c r="F103" s="15">
        <v>3254880408</v>
      </c>
      <c r="G103" s="14" t="s">
        <v>24</v>
      </c>
      <c r="H103" s="16">
        <v>0.00504526945298075</v>
      </c>
      <c r="I103" s="16">
        <v>0.0054163886802693732</v>
      </c>
      <c r="J103" s="14" t="s">
        <v>19</v>
      </c>
    </row>
    <row r="104">
      <c r="B104" s="14">
        <v>95</v>
      </c>
      <c r="C104" s="23" t="s">
        <v>698</v>
      </c>
      <c r="D104" s="24">
        <v>0.1368</v>
      </c>
      <c r="E104" s="15">
        <v>4362546169</v>
      </c>
      <c r="F104" s="15">
        <v>4590740891</v>
      </c>
      <c r="G104" s="14" t="s">
        <v>19</v>
      </c>
      <c r="H104" s="16">
        <v>0.00922121057026304</v>
      </c>
      <c r="I104" s="16">
        <v>0.010417323252140846</v>
      </c>
      <c r="J104" s="14" t="s">
        <v>19</v>
      </c>
    </row>
    <row r="105">
      <c r="B105" s="14">
        <v>96</v>
      </c>
      <c r="C105" s="23" t="s">
        <v>699</v>
      </c>
      <c r="D105" s="24">
        <v>0.075</v>
      </c>
      <c r="E105" s="15">
        <v>266415975</v>
      </c>
      <c r="F105" s="15">
        <v>266415975</v>
      </c>
      <c r="G105" s="14" t="s">
        <v>24</v>
      </c>
      <c r="H105" s="16">
        <v>0.00025118982081437</v>
      </c>
      <c r="I105" s="16">
        <v>0.00026966680662886174</v>
      </c>
      <c r="J105" s="14" t="s">
        <v>24</v>
      </c>
    </row>
    <row r="106">
      <c r="B106" s="14">
        <v>97</v>
      </c>
      <c r="C106" s="23" t="s">
        <v>700</v>
      </c>
      <c r="D106" s="24">
        <v>0.5027</v>
      </c>
      <c r="E106" s="15">
        <v>3573845110</v>
      </c>
      <c r="F106" s="15">
        <v>3573845110</v>
      </c>
      <c r="G106" s="14" t="s">
        <v>24</v>
      </c>
      <c r="H106" s="16">
        <v>0.0044866868730499</v>
      </c>
      <c r="I106" s="16">
        <v>0.0048167179604508593</v>
      </c>
      <c r="J106" s="14" t="s">
        <v>19</v>
      </c>
    </row>
    <row r="107">
      <c r="B107" s="14">
        <v>98</v>
      </c>
      <c r="C107" s="23" t="s">
        <v>701</v>
      </c>
      <c r="D107" s="24">
        <v>0.2072</v>
      </c>
      <c r="E107" s="15">
        <v>165760000</v>
      </c>
      <c r="F107" s="15">
        <v>165760000</v>
      </c>
      <c r="G107" s="14" t="s">
        <v>24</v>
      </c>
      <c r="H107" s="16">
        <v>0.00016732849874645</v>
      </c>
      <c r="I107" s="16">
        <v>0.00017963682512558448</v>
      </c>
      <c r="J107" s="14" t="s">
        <v>24</v>
      </c>
    </row>
    <row r="108">
      <c r="B108" s="14">
        <v>99</v>
      </c>
      <c r="C108" s="23" t="s">
        <v>702</v>
      </c>
      <c r="D108" s="24">
        <v>0.2033</v>
      </c>
      <c r="E108" s="15">
        <v>722848519</v>
      </c>
      <c r="F108" s="15">
        <v>722848519</v>
      </c>
      <c r="G108" s="14" t="s">
        <v>24</v>
      </c>
      <c r="H108" s="16">
        <v>0.00225018138831111</v>
      </c>
      <c r="I108" s="16">
        <v>0.002415699918719736</v>
      </c>
      <c r="J108" s="14" t="s">
        <v>19</v>
      </c>
    </row>
    <row r="109">
      <c r="B109" s="14">
        <v>100</v>
      </c>
      <c r="C109" s="23" t="s">
        <v>703</v>
      </c>
      <c r="D109" s="24">
        <v>0.1783</v>
      </c>
      <c r="E109" s="15">
        <v>4198391174</v>
      </c>
      <c r="F109" s="15">
        <v>2713204590</v>
      </c>
      <c r="G109" s="14" t="s">
        <v>20</v>
      </c>
      <c r="H109" s="16">
        <v>0.00157047023945059</v>
      </c>
      <c r="I109" s="16">
        <v>0.0010895691791420242</v>
      </c>
      <c r="J109" s="14" t="s">
        <v>20</v>
      </c>
    </row>
    <row r="110">
      <c r="B110" s="14">
        <v>101</v>
      </c>
      <c r="C110" s="23" t="s">
        <v>704</v>
      </c>
      <c r="D110" s="24">
        <v>0.1008</v>
      </c>
      <c r="E110" s="15">
        <v>121478285</v>
      </c>
      <c r="F110" s="15">
        <v>156585821</v>
      </c>
      <c r="G110" s="14" t="s">
        <v>19</v>
      </c>
      <c r="H110" s="16">
        <v>4.886436497261E-05</v>
      </c>
      <c r="I110" s="16">
        <v>6.7619428461320355E-05</v>
      </c>
      <c r="J110" s="14" t="s">
        <v>19</v>
      </c>
    </row>
    <row r="111">
      <c r="B111" s="14">
        <v>102</v>
      </c>
      <c r="C111" s="23" t="s">
        <v>705</v>
      </c>
      <c r="D111" s="24">
        <v>0.075</v>
      </c>
      <c r="E111" s="15">
        <v>426551550</v>
      </c>
      <c r="F111" s="15">
        <v>426551550</v>
      </c>
      <c r="G111" s="14" t="s">
        <v>24</v>
      </c>
      <c r="H111" s="16">
        <v>7.759322948509E-05</v>
      </c>
      <c r="I111" s="16">
        <v>8.3300821396301811E-05</v>
      </c>
      <c r="J111" s="14" t="s">
        <v>24</v>
      </c>
    </row>
    <row r="112">
      <c r="B112" s="14">
        <v>103</v>
      </c>
      <c r="C112" s="23" t="s">
        <v>706</v>
      </c>
      <c r="D112" s="24">
        <v>0.22</v>
      </c>
      <c r="E112" s="15">
        <v>1327594491</v>
      </c>
      <c r="F112" s="15">
        <v>1378342558</v>
      </c>
      <c r="G112" s="14" t="s">
        <v>19</v>
      </c>
      <c r="H112" s="16">
        <v>0.00020748620690223</v>
      </c>
      <c r="I112" s="16">
        <v>0.0002312631365884414</v>
      </c>
      <c r="J112" s="14" t="s">
        <v>24</v>
      </c>
    </row>
    <row r="113">
      <c r="B113" s="14">
        <v>104</v>
      </c>
      <c r="C113" s="23" t="s">
        <v>707</v>
      </c>
      <c r="D113" s="24">
        <v>0.075</v>
      </c>
      <c r="E113" s="15">
        <v>261111111</v>
      </c>
      <c r="F113" s="15">
        <v>261111111</v>
      </c>
      <c r="G113" s="14" t="s">
        <v>24</v>
      </c>
      <c r="H113" s="16">
        <v>0.00020337281078713</v>
      </c>
      <c r="I113" s="16">
        <v>0.00021833247964546078</v>
      </c>
      <c r="J113" s="14" t="s">
        <v>24</v>
      </c>
    </row>
    <row r="114">
      <c r="B114" s="14">
        <v>105</v>
      </c>
      <c r="C114" s="23" t="s">
        <v>708</v>
      </c>
      <c r="D114" s="24">
        <v>0.2199</v>
      </c>
      <c r="E114" s="15">
        <v>684937500</v>
      </c>
      <c r="F114" s="15">
        <v>753088781</v>
      </c>
      <c r="G114" s="14" t="s">
        <v>19</v>
      </c>
      <c r="H114" s="16">
        <v>0.0001684675003579</v>
      </c>
      <c r="I114" s="16">
        <v>0.00019885514037999404</v>
      </c>
      <c r="J114" s="14" t="s">
        <v>24</v>
      </c>
    </row>
    <row r="115">
      <c r="B115" s="14">
        <v>106</v>
      </c>
      <c r="C115" s="23" t="s">
        <v>709</v>
      </c>
      <c r="D115" s="24">
        <v>0.7478</v>
      </c>
      <c r="E115" s="15">
        <v>1200769500</v>
      </c>
      <c r="F115" s="15">
        <v>1334823000</v>
      </c>
      <c r="G115" s="14" t="s">
        <v>19</v>
      </c>
      <c r="H115" s="16">
        <v>0.0103369610599291</v>
      </c>
      <c r="I115" s="16">
        <v>0.012336227491319527</v>
      </c>
      <c r="J115" s="14" t="s">
        <v>19</v>
      </c>
    </row>
    <row r="116" ht="14.5" customHeight="1">
      <c r="B116" s="30" t="s">
        <v>112</v>
      </c>
      <c r="C116" s="30"/>
      <c r="D116" s="30"/>
      <c r="E116" s="30"/>
      <c r="F116" s="30"/>
      <c r="G116" s="30"/>
      <c r="H116" s="30"/>
      <c r="I116" s="30"/>
      <c r="J116" s="30"/>
    </row>
    <row r="117">
      <c r="B117" s="31"/>
      <c r="C117" s="31"/>
      <c r="D117" s="31"/>
      <c r="E117" s="31"/>
      <c r="F117" s="31"/>
      <c r="G117" s="31"/>
      <c r="H117" s="31"/>
      <c r="I117" s="31"/>
      <c r="J117" s="31"/>
    </row>
    <row r="118">
      <c r="B118" s="9"/>
      <c r="C118" s="10"/>
      <c r="D118" s="10"/>
      <c r="E118" s="8"/>
      <c r="F118" s="11"/>
      <c r="G118" s="11"/>
      <c r="H118" s="9"/>
    </row>
    <row r="119">
      <c r="D119" s="26"/>
      <c r="E119" s="26"/>
    </row>
  </sheetData>
  <mergeCells>
    <mergeCell ref="B116:J117"/>
    <mergeCell ref="B2:H2"/>
    <mergeCell ref="B8:B9"/>
    <mergeCell ref="C8:C9"/>
    <mergeCell ref="D8:D9"/>
    <mergeCell ref="E8:G8"/>
    <mergeCell ref="H8:J8"/>
  </mergeCells>
  <conditionalFormatting sqref="B116">
    <cfRule type="expression" dxfId="0" priority="1">
      <formula>$H116="Baru"</formula>
    </cfRule>
  </conditionalFormatting>
  <conditionalFormatting sqref="B118:H118">
    <cfRule type="expression" dxfId="0" priority="7">
      <formula>$H118="Baru"</formula>
    </cfRule>
  </conditionalFormatting>
  <conditionalFormatting sqref="B10:J115">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90A6-3E41-41B7-AC8F-CEBD559EEFA5}">
  <dimension ref="A2:P101"/>
  <sheetViews>
    <sheetView topLeftCell="A8" workbookViewId="0">
      <selection activeCell="C10" sqref="C10"/>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2" width="8.81640625" customWidth="1" style="6"/>
    <col min="13" max="13" bestFit="1" width="8.81640625" customWidth="1" style="6"/>
    <col min="14" max="15" bestFit="1" width="11.81640625" customWidth="1" style="6"/>
    <col min="16" max="16384" width="8.81640625" customWidth="1" style="6"/>
  </cols>
  <sheetData>
    <row r="2">
      <c r="B2" s="32" t="str">
        <f>LEFT('A ENERGY'!B2,9) &amp; (VALUE(MID('A ENERGY'!B2,10,1))+7) &amp; _xlfn.TEXTAFTER('A ENERGY'!B2,"Lampiran 5")</f>
        <v>Lampiran 12 Pengumuman BEI No. Peng-00044/BEI.POP/03-2026 tanggal 25 Maret 2026</v>
      </c>
      <c r="C2" s="32"/>
      <c r="D2" s="32"/>
      <c r="E2" s="32"/>
      <c r="F2" s="32"/>
      <c r="G2" s="32"/>
      <c r="H2" s="32"/>
    </row>
    <row r="3">
      <c r="B3" s="5" t="s">
        <v>1</v>
      </c>
      <c r="F3" s="22"/>
      <c r="G3" s="22" t="s">
        <v>710</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711</v>
      </c>
      <c r="D10" s="24">
        <v>0.1</v>
      </c>
      <c r="E10" s="15">
        <v>2222222220</v>
      </c>
      <c r="F10" s="15">
        <v>2222222220</v>
      </c>
      <c r="G10" s="14" t="s">
        <v>24</v>
      </c>
      <c r="H10" s="16">
        <v>0.0017612556189345499</v>
      </c>
      <c r="I10" s="16">
        <v>0.0016286881367664112</v>
      </c>
      <c r="J10" s="14" t="s">
        <v>20</v>
      </c>
    </row>
    <row r="11">
      <c r="B11" s="14">
        <v>2</v>
      </c>
      <c r="C11" s="23" t="s">
        <v>712</v>
      </c>
      <c r="D11" s="24">
        <v>0.1097</v>
      </c>
      <c r="E11" s="15">
        <v>424922950</v>
      </c>
      <c r="F11" s="15">
        <v>424922950</v>
      </c>
      <c r="G11" s="14" t="s">
        <v>24</v>
      </c>
      <c r="H11" s="16">
        <v>0.00195331860787087</v>
      </c>
      <c r="I11" s="16">
        <v>0.0018062947875157886</v>
      </c>
      <c r="J11" s="14" t="s">
        <v>20</v>
      </c>
    </row>
    <row r="12">
      <c r="B12" s="14">
        <v>3</v>
      </c>
      <c r="C12" s="23" t="s">
        <v>713</v>
      </c>
      <c r="D12" s="24">
        <v>0.1141</v>
      </c>
      <c r="E12" s="15">
        <v>2589993185</v>
      </c>
      <c r="F12" s="15">
        <v>2589993185</v>
      </c>
      <c r="G12" s="14" t="s">
        <v>24</v>
      </c>
      <c r="H12" s="16">
        <v>0.0063224331157380794</v>
      </c>
      <c r="I12" s="16">
        <v>0.0058465515750943681</v>
      </c>
      <c r="J12" s="14" t="s">
        <v>20</v>
      </c>
    </row>
    <row r="13">
      <c r="B13" s="14">
        <v>4</v>
      </c>
      <c r="C13" s="23" t="s">
        <v>714</v>
      </c>
      <c r="D13" s="24">
        <v>0.4987</v>
      </c>
      <c r="E13" s="15">
        <v>4491416875</v>
      </c>
      <c r="F13" s="15">
        <v>4491416875</v>
      </c>
      <c r="G13" s="14" t="s">
        <v>24</v>
      </c>
      <c r="H13" s="16">
        <v>0.00355973994719178</v>
      </c>
      <c r="I13" s="16">
        <v>0.0032918028250050382</v>
      </c>
      <c r="J13" s="14" t="s">
        <v>20</v>
      </c>
    </row>
    <row r="14">
      <c r="B14" s="14">
        <v>5</v>
      </c>
      <c r="C14" s="23" t="s">
        <v>715</v>
      </c>
      <c r="D14" s="24">
        <v>0.4882</v>
      </c>
      <c r="E14" s="15">
        <v>332866143</v>
      </c>
      <c r="F14" s="15">
        <v>332866143</v>
      </c>
      <c r="G14" s="14" t="s">
        <v>24</v>
      </c>
      <c r="H14" s="16">
        <v>0.0013718539347975201</v>
      </c>
      <c r="I14" s="16">
        <v>0.0012685962261088993</v>
      </c>
      <c r="J14" s="14" t="s">
        <v>20</v>
      </c>
    </row>
    <row r="15">
      <c r="B15" s="14">
        <v>6</v>
      </c>
      <c r="C15" s="23" t="s">
        <v>716</v>
      </c>
      <c r="D15" s="24">
        <v>0.3143</v>
      </c>
      <c r="E15" s="15">
        <v>8889393938</v>
      </c>
      <c r="F15" s="15">
        <v>6175810156</v>
      </c>
      <c r="G15" s="14" t="s">
        <v>20</v>
      </c>
      <c r="H15" s="16">
        <v>0.017613556917616898</v>
      </c>
      <c r="I15" s="16">
        <v>0.011315777340044316</v>
      </c>
      <c r="J15" s="14" t="s">
        <v>20</v>
      </c>
    </row>
    <row r="16">
      <c r="B16" s="14">
        <v>7</v>
      </c>
      <c r="C16" s="23" t="s">
        <v>717</v>
      </c>
      <c r="D16" s="24">
        <v>0.2</v>
      </c>
      <c r="E16" s="15">
        <v>250000000</v>
      </c>
      <c r="F16" s="15">
        <v>250000000</v>
      </c>
      <c r="G16" s="14" t="s">
        <v>24</v>
      </c>
      <c r="H16" s="16">
        <v>0.00287304823126003</v>
      </c>
      <c r="I16" s="16">
        <v>0.0026567975257570059</v>
      </c>
      <c r="J16" s="14" t="s">
        <v>20</v>
      </c>
    </row>
    <row r="17">
      <c r="B17" s="14">
        <v>8</v>
      </c>
      <c r="C17" s="23" t="s">
        <v>718</v>
      </c>
      <c r="D17" s="24">
        <v>0.3337</v>
      </c>
      <c r="E17" s="15">
        <v>214815255</v>
      </c>
      <c r="F17" s="15">
        <v>220837494</v>
      </c>
      <c r="G17" s="14" t="s">
        <v>19</v>
      </c>
      <c r="H17" s="16">
        <v>0.00024857238595893</v>
      </c>
      <c r="I17" s="16">
        <v>0.00023630674273958477</v>
      </c>
      <c r="J17" s="14" t="s">
        <v>24</v>
      </c>
    </row>
    <row r="18" s="7" customFormat="1">
      <c r="B18" s="14">
        <v>9</v>
      </c>
      <c r="C18" s="23" t="s">
        <v>719</v>
      </c>
      <c r="D18" s="24">
        <v>0.3037</v>
      </c>
      <c r="E18" s="15">
        <v>1677594031</v>
      </c>
      <c r="F18" s="15">
        <v>1698284357</v>
      </c>
      <c r="G18" s="14" t="s">
        <v>19</v>
      </c>
      <c r="H18" s="16">
        <v>0.00069139322842461006</v>
      </c>
      <c r="I18" s="16">
        <v>0.00064723828766820736</v>
      </c>
      <c r="J18" s="14" t="s">
        <v>20</v>
      </c>
    </row>
    <row r="19" s="7" customFormat="1">
      <c r="B19" s="14">
        <v>10</v>
      </c>
      <c r="C19" s="23" t="s">
        <v>720</v>
      </c>
      <c r="D19" s="24">
        <v>0.1048</v>
      </c>
      <c r="E19" s="15">
        <v>503041679</v>
      </c>
      <c r="F19" s="15">
        <v>503041679</v>
      </c>
      <c r="G19" s="14" t="s">
        <v>24</v>
      </c>
      <c r="H19" s="16">
        <v>0.00121202745890955</v>
      </c>
      <c r="I19" s="16">
        <v>0.0011207996852536195</v>
      </c>
      <c r="J19" s="14" t="s">
        <v>20</v>
      </c>
    </row>
    <row r="20">
      <c r="B20" s="14">
        <v>11</v>
      </c>
      <c r="C20" s="23" t="s">
        <v>721</v>
      </c>
      <c r="D20" s="24">
        <v>0.5709</v>
      </c>
      <c r="E20" s="15">
        <v>834355709</v>
      </c>
      <c r="F20" s="15">
        <v>816338773</v>
      </c>
      <c r="G20" s="14" t="s">
        <v>20</v>
      </c>
      <c r="H20" s="16">
        <v>0.00089934237346716</v>
      </c>
      <c r="I20" s="16">
        <v>0.00081369150143800945</v>
      </c>
      <c r="J20" s="14" t="s">
        <v>20</v>
      </c>
    </row>
    <row r="21">
      <c r="B21" s="14">
        <v>12</v>
      </c>
      <c r="C21" s="23" t="s">
        <v>722</v>
      </c>
      <c r="D21" s="24">
        <v>0.4161</v>
      </c>
      <c r="E21" s="15">
        <v>4014246170</v>
      </c>
      <c r="F21" s="15">
        <v>4014246170</v>
      </c>
      <c r="G21" s="14" t="s">
        <v>24</v>
      </c>
      <c r="H21" s="16">
        <v>0.0061085781761205105</v>
      </c>
      <c r="I21" s="16">
        <v>0.0056487932244464059</v>
      </c>
      <c r="J21" s="14" t="s">
        <v>20</v>
      </c>
    </row>
    <row r="22">
      <c r="B22" s="14">
        <v>13</v>
      </c>
      <c r="C22" s="23" t="s">
        <v>723</v>
      </c>
      <c r="D22" s="24">
        <v>0.2091</v>
      </c>
      <c r="E22" s="15">
        <v>162284720</v>
      </c>
      <c r="F22" s="15">
        <v>123845748</v>
      </c>
      <c r="G22" s="14" t="s">
        <v>20</v>
      </c>
      <c r="H22" s="16">
        <v>0.00014148331325026</v>
      </c>
      <c r="I22" s="16">
        <v>9.9844519875342972E-05</v>
      </c>
      <c r="J22" s="14" t="s">
        <v>24</v>
      </c>
    </row>
    <row r="23">
      <c r="B23" s="14">
        <v>14</v>
      </c>
      <c r="C23" s="23" t="s">
        <v>724</v>
      </c>
      <c r="D23" s="24">
        <v>0.243</v>
      </c>
      <c r="E23" s="15">
        <v>1221966658</v>
      </c>
      <c r="F23" s="15">
        <v>1221966658</v>
      </c>
      <c r="G23" s="14" t="s">
        <v>24</v>
      </c>
      <c r="H23" s="16">
        <v>0.00114281588733855</v>
      </c>
      <c r="I23" s="16">
        <v>0.0010567975816610752</v>
      </c>
      <c r="J23" s="14" t="s">
        <v>24</v>
      </c>
    </row>
    <row r="24">
      <c r="B24" s="14">
        <v>15</v>
      </c>
      <c r="C24" s="23" t="s">
        <v>725</v>
      </c>
      <c r="D24" s="24">
        <v>0.0754</v>
      </c>
      <c r="E24" s="15">
        <v>566555016</v>
      </c>
      <c r="F24" s="15">
        <v>566555016</v>
      </c>
      <c r="G24" s="14" t="s">
        <v>24</v>
      </c>
      <c r="H24" s="16">
        <v>0.00044903169286352997</v>
      </c>
      <c r="I24" s="16">
        <v>0.00041523364529235491</v>
      </c>
      <c r="J24" s="14" t="s">
        <v>24</v>
      </c>
    </row>
    <row r="25">
      <c r="B25" s="14">
        <v>16</v>
      </c>
      <c r="C25" s="23" t="s">
        <v>726</v>
      </c>
      <c r="D25" s="24">
        <v>0.1822</v>
      </c>
      <c r="E25" s="15">
        <v>32938028491</v>
      </c>
      <c r="F25" s="15">
        <v>30556562073</v>
      </c>
      <c r="G25" s="14" t="s">
        <v>20</v>
      </c>
      <c r="H25" s="16">
        <v>0.053255280213630504</v>
      </c>
      <c r="I25" s="16">
        <v>0.045686207161934743</v>
      </c>
      <c r="J25" s="14" t="s">
        <v>20</v>
      </c>
    </row>
    <row r="26">
      <c r="B26" s="14">
        <v>17</v>
      </c>
      <c r="C26" s="23" t="s">
        <v>727</v>
      </c>
      <c r="D26" s="24">
        <v>0.1506</v>
      </c>
      <c r="E26" s="15">
        <v>3778837486</v>
      </c>
      <c r="F26" s="15">
        <v>3778837486</v>
      </c>
      <c r="G26" s="14" t="s">
        <v>24</v>
      </c>
      <c r="H26" s="16">
        <v>0.0033543713760044004</v>
      </c>
      <c r="I26" s="16">
        <v>0.003101892086080184</v>
      </c>
      <c r="J26" s="14" t="s">
        <v>20</v>
      </c>
    </row>
    <row r="27">
      <c r="B27" s="14">
        <v>18</v>
      </c>
      <c r="C27" s="23" t="s">
        <v>728</v>
      </c>
      <c r="D27" s="24">
        <v>0.275</v>
      </c>
      <c r="E27" s="15">
        <v>5822125598</v>
      </c>
      <c r="F27" s="15">
        <v>5822125598</v>
      </c>
      <c r="G27" s="14" t="s">
        <v>24</v>
      </c>
      <c r="H27" s="16">
        <v>0.067370431920554891</v>
      </c>
      <c r="I27" s="16">
        <v>0.062299544747438769</v>
      </c>
      <c r="J27" s="14" t="s">
        <v>20</v>
      </c>
    </row>
    <row r="28">
      <c r="B28" s="14">
        <v>19</v>
      </c>
      <c r="C28" s="23" t="s">
        <v>729</v>
      </c>
      <c r="D28" s="24">
        <v>0.1126</v>
      </c>
      <c r="E28" s="15">
        <v>566894450</v>
      </c>
      <c r="F28" s="15">
        <v>638323151</v>
      </c>
      <c r="G28" s="14" t="s">
        <v>19</v>
      </c>
      <c r="H28" s="16">
        <v>0.041605246336944506</v>
      </c>
      <c r="I28" s="16">
        <v>0.043321354764816584</v>
      </c>
      <c r="J28" s="14" t="s">
        <v>19</v>
      </c>
    </row>
    <row r="29">
      <c r="B29" s="14">
        <v>20</v>
      </c>
      <c r="C29" s="23" t="s">
        <v>730</v>
      </c>
      <c r="D29" s="24">
        <v>0.0768</v>
      </c>
      <c r="E29" s="15">
        <v>104160000</v>
      </c>
      <c r="F29" s="15">
        <v>104160000</v>
      </c>
      <c r="G29" s="14" t="s">
        <v>24</v>
      </c>
      <c r="H29" s="16">
        <v>0.00048541501190513004</v>
      </c>
      <c r="I29" s="16">
        <v>0.00044887843808638791</v>
      </c>
      <c r="J29" s="14" t="s">
        <v>20</v>
      </c>
    </row>
    <row r="30">
      <c r="B30" s="14">
        <v>21</v>
      </c>
      <c r="C30" s="23" t="s">
        <v>731</v>
      </c>
      <c r="D30" s="24">
        <v>0.0775</v>
      </c>
      <c r="E30" s="15">
        <v>418902145</v>
      </c>
      <c r="F30" s="15">
        <v>418902145</v>
      </c>
      <c r="G30" s="14" t="s">
        <v>24</v>
      </c>
      <c r="H30" s="16">
        <v>0.00102258214776025</v>
      </c>
      <c r="I30" s="16">
        <v>0.000945613682922989</v>
      </c>
      <c r="J30" s="14" t="s">
        <v>20</v>
      </c>
    </row>
    <row r="31">
      <c r="B31" s="14">
        <v>22</v>
      </c>
      <c r="C31" s="23" t="s">
        <v>732</v>
      </c>
      <c r="D31" s="24">
        <v>0.0641</v>
      </c>
      <c r="E31" s="15">
        <v>312244819</v>
      </c>
      <c r="F31" s="15">
        <v>312244819</v>
      </c>
      <c r="G31" s="14" t="s">
        <v>24</v>
      </c>
      <c r="H31" s="16">
        <v>0.0002474743241236</v>
      </c>
      <c r="I31" s="16">
        <v>0.00022884724465519537</v>
      </c>
      <c r="J31" s="14" t="s">
        <v>24</v>
      </c>
    </row>
    <row r="32">
      <c r="B32" s="14">
        <v>23</v>
      </c>
      <c r="C32" s="23" t="s">
        <v>733</v>
      </c>
      <c r="D32" s="24">
        <v>0.2808</v>
      </c>
      <c r="E32" s="15">
        <v>683293092</v>
      </c>
      <c r="F32" s="15">
        <v>683293092</v>
      </c>
      <c r="G32" s="14" t="s">
        <v>24</v>
      </c>
      <c r="H32" s="16">
        <v>0.00054155420949043</v>
      </c>
      <c r="I32" s="16">
        <v>0.00050079210944574274</v>
      </c>
      <c r="J32" s="14" t="s">
        <v>24</v>
      </c>
    </row>
    <row r="33">
      <c r="B33" s="14">
        <v>24</v>
      </c>
      <c r="C33" s="23" t="s">
        <v>734</v>
      </c>
      <c r="D33" s="24">
        <v>0.1565</v>
      </c>
      <c r="E33" s="15">
        <v>365960000</v>
      </c>
      <c r="F33" s="15">
        <v>286363700</v>
      </c>
      <c r="G33" s="14" t="s">
        <v>20</v>
      </c>
      <c r="H33" s="16">
        <v>0.00092234977204522011</v>
      </c>
      <c r="I33" s="16">
        <v>0.0006674143380448707</v>
      </c>
      <c r="J33" s="14" t="s">
        <v>20</v>
      </c>
    </row>
    <row r="34">
      <c r="B34" s="14">
        <v>25</v>
      </c>
      <c r="C34" s="23" t="s">
        <v>735</v>
      </c>
      <c r="D34" s="24">
        <v>0.4284</v>
      </c>
      <c r="E34" s="15">
        <v>7940691847</v>
      </c>
      <c r="F34" s="15">
        <v>7940691847</v>
      </c>
      <c r="G34" s="14" t="s">
        <v>24</v>
      </c>
      <c r="H34" s="16">
        <v>0.0855917994641816</v>
      </c>
      <c r="I34" s="16">
        <v>0.07914941300819274</v>
      </c>
      <c r="J34" s="14" t="s">
        <v>20</v>
      </c>
    </row>
    <row r="35">
      <c r="B35" s="14">
        <v>26</v>
      </c>
      <c r="C35" s="23" t="s">
        <v>736</v>
      </c>
      <c r="D35" s="24">
        <v>0.7847</v>
      </c>
      <c r="E35" s="15">
        <v>5187951651</v>
      </c>
      <c r="F35" s="15">
        <v>5831522219</v>
      </c>
      <c r="G35" s="14" t="s">
        <v>19</v>
      </c>
      <c r="H35" s="16">
        <v>0.00411178905234982</v>
      </c>
      <c r="I35" s="16">
        <v>0.0042739789799168476</v>
      </c>
      <c r="J35" s="14" t="s">
        <v>19</v>
      </c>
    </row>
    <row r="36">
      <c r="B36" s="14">
        <v>27</v>
      </c>
      <c r="C36" s="23" t="s">
        <v>737</v>
      </c>
      <c r="D36" s="24">
        <v>0.075</v>
      </c>
      <c r="E36" s="15">
        <v>235604322</v>
      </c>
      <c r="F36" s="15">
        <v>235604322</v>
      </c>
      <c r="G36" s="14" t="s">
        <v>24</v>
      </c>
      <c r="H36" s="16">
        <v>0.00052284888984223008</v>
      </c>
      <c r="I36" s="16">
        <v>0.00048349471569880665</v>
      </c>
      <c r="J36" s="14" t="s">
        <v>24</v>
      </c>
    </row>
    <row r="37">
      <c r="B37" s="14">
        <v>28</v>
      </c>
      <c r="C37" s="23" t="s">
        <v>738</v>
      </c>
      <c r="D37" s="24">
        <v>0.3899</v>
      </c>
      <c r="E37" s="15">
        <v>4045792888</v>
      </c>
      <c r="F37" s="15">
        <v>4041646547</v>
      </c>
      <c r="G37" s="14" t="s">
        <v>20</v>
      </c>
      <c r="H37" s="16">
        <v>0.0080805159763587</v>
      </c>
      <c r="I37" s="16">
        <v>0.00746464775014022</v>
      </c>
      <c r="J37" s="14" t="s">
        <v>20</v>
      </c>
    </row>
    <row r="38">
      <c r="B38" s="14">
        <v>29</v>
      </c>
      <c r="C38" s="23" t="s">
        <v>739</v>
      </c>
      <c r="D38" s="24">
        <v>0.1763</v>
      </c>
      <c r="E38" s="15">
        <v>8497326987</v>
      </c>
      <c r="F38" s="15">
        <v>8497326987</v>
      </c>
      <c r="G38" s="14" t="s">
        <v>24</v>
      </c>
      <c r="H38" s="16">
        <v>0.017644872636841</v>
      </c>
      <c r="I38" s="16">
        <v>0.016316765396907726</v>
      </c>
      <c r="J38" s="14" t="s">
        <v>20</v>
      </c>
    </row>
    <row r="39">
      <c r="B39" s="14">
        <v>30</v>
      </c>
      <c r="C39" s="23" t="s">
        <v>740</v>
      </c>
      <c r="D39" s="24">
        <v>0.0757</v>
      </c>
      <c r="E39" s="15">
        <v>140045000</v>
      </c>
      <c r="F39" s="15">
        <v>140045000</v>
      </c>
      <c r="G39" s="14" t="s">
        <v>24</v>
      </c>
      <c r="H39" s="16">
        <v>0.0099007334420897989</v>
      </c>
      <c r="I39" s="16">
        <v>0.0091555177619094836</v>
      </c>
      <c r="J39" s="14" t="s">
        <v>20</v>
      </c>
    </row>
    <row r="40">
      <c r="B40" s="14">
        <v>31</v>
      </c>
      <c r="C40" s="23" t="s">
        <v>741</v>
      </c>
      <c r="D40" s="24">
        <v>0.8483</v>
      </c>
      <c r="E40" s="15">
        <v>36919638814</v>
      </c>
      <c r="F40" s="15">
        <v>36919638814</v>
      </c>
      <c r="G40" s="14" t="s">
        <v>24</v>
      </c>
      <c r="H40" s="16">
        <v>0.022823747402701</v>
      </c>
      <c r="I40" s="16">
        <v>0.021105832811387903</v>
      </c>
      <c r="J40" s="14" t="s">
        <v>20</v>
      </c>
    </row>
    <row r="41">
      <c r="B41" s="14">
        <v>32</v>
      </c>
      <c r="C41" s="23" t="s">
        <v>742</v>
      </c>
      <c r="D41" s="24">
        <v>0.1759</v>
      </c>
      <c r="E41" s="15">
        <v>559450000</v>
      </c>
      <c r="F41" s="15">
        <v>589265000</v>
      </c>
      <c r="G41" s="14" t="s">
        <v>19</v>
      </c>
      <c r="H41" s="16">
        <v>0.0006828367786998001</v>
      </c>
      <c r="I41" s="16">
        <v>0.000665092138698872</v>
      </c>
      <c r="J41" s="14" t="s">
        <v>24</v>
      </c>
    </row>
    <row r="42">
      <c r="B42" s="14">
        <v>33</v>
      </c>
      <c r="C42" s="23" t="s">
        <v>743</v>
      </c>
      <c r="D42" s="24">
        <v>0.1213</v>
      </c>
      <c r="E42" s="15">
        <v>776320000</v>
      </c>
      <c r="F42" s="15">
        <v>776320000</v>
      </c>
      <c r="G42" s="14" t="s">
        <v>24</v>
      </c>
      <c r="H42" s="16">
        <v>0.0029533636010705</v>
      </c>
      <c r="I42" s="16">
        <v>0.0027310676592935887</v>
      </c>
      <c r="J42" s="14" t="s">
        <v>20</v>
      </c>
    </row>
    <row r="43">
      <c r="B43" s="14">
        <v>34</v>
      </c>
      <c r="C43" s="23" t="s">
        <v>744</v>
      </c>
      <c r="D43" s="24">
        <v>0.6893</v>
      </c>
      <c r="E43" s="15">
        <v>6900601363</v>
      </c>
      <c r="F43" s="15">
        <v>6900601363</v>
      </c>
      <c r="G43" s="14" t="s">
        <v>24</v>
      </c>
      <c r="H43" s="16">
        <v>0.00196890311575591</v>
      </c>
      <c r="I43" s="16">
        <v>0.0018207062692832954</v>
      </c>
      <c r="J43" s="14" t="s">
        <v>20</v>
      </c>
    </row>
    <row r="44">
      <c r="B44" s="14">
        <v>35</v>
      </c>
      <c r="C44" s="23" t="s">
        <v>745</v>
      </c>
      <c r="D44" s="24">
        <v>0.0933</v>
      </c>
      <c r="E44" s="15">
        <v>94734954</v>
      </c>
      <c r="F44" s="15">
        <v>94734954</v>
      </c>
      <c r="G44" s="14" t="s">
        <v>24</v>
      </c>
      <c r="H44" s="16">
        <v>0.0021248662081098098</v>
      </c>
      <c r="I44" s="16">
        <v>0.0019649302169198004</v>
      </c>
      <c r="J44" s="14" t="s">
        <v>20</v>
      </c>
    </row>
    <row r="45">
      <c r="B45" s="14">
        <v>36</v>
      </c>
      <c r="C45" s="23" t="s">
        <v>746</v>
      </c>
      <c r="D45" s="24">
        <v>0.3458</v>
      </c>
      <c r="E45" s="15">
        <v>1764975657</v>
      </c>
      <c r="F45" s="15">
        <v>1478867415</v>
      </c>
      <c r="G45" s="14" t="s">
        <v>20</v>
      </c>
      <c r="H45" s="16">
        <v>0.0026858073279881</v>
      </c>
      <c r="I45" s="16">
        <v>0.0020810423382137443</v>
      </c>
      <c r="J45" s="14" t="s">
        <v>20</v>
      </c>
    </row>
    <row r="46">
      <c r="B46" s="14">
        <v>37</v>
      </c>
      <c r="C46" s="23" t="s">
        <v>747</v>
      </c>
      <c r="D46" s="24">
        <v>0.1915</v>
      </c>
      <c r="E46" s="15">
        <v>1412450509</v>
      </c>
      <c r="F46" s="15">
        <v>1412450509</v>
      </c>
      <c r="G46" s="14" t="s">
        <v>24</v>
      </c>
      <c r="H46" s="16">
        <v>0.00217175022539368</v>
      </c>
      <c r="I46" s="16">
        <v>0.0020082853336394124</v>
      </c>
      <c r="J46" s="14" t="s">
        <v>20</v>
      </c>
    </row>
    <row r="47" s="7" customFormat="1">
      <c r="B47" s="14">
        <v>38</v>
      </c>
      <c r="C47" s="23" t="s">
        <v>748</v>
      </c>
      <c r="D47" s="24">
        <v>0.2</v>
      </c>
      <c r="E47" s="15">
        <v>315000000</v>
      </c>
      <c r="F47" s="15">
        <v>315000000</v>
      </c>
      <c r="G47" s="14" t="s">
        <v>24</v>
      </c>
      <c r="H47" s="16">
        <v>0.00124828992116815</v>
      </c>
      <c r="I47" s="16">
        <v>0.0011543327180875266</v>
      </c>
      <c r="J47" s="14" t="s">
        <v>24</v>
      </c>
      <c r="K47" s="6"/>
      <c r="L47" s="6"/>
      <c r="M47" s="6"/>
      <c r="N47" s="6"/>
      <c r="O47" s="6"/>
      <c r="P47" s="6"/>
    </row>
    <row r="48" s="7" customFormat="1">
      <c r="B48" s="14">
        <v>39</v>
      </c>
      <c r="C48" s="23" t="s">
        <v>749</v>
      </c>
      <c r="D48" s="24">
        <v>0.1235</v>
      </c>
      <c r="E48" s="15">
        <v>553371592</v>
      </c>
      <c r="F48" s="15">
        <v>553371592</v>
      </c>
      <c r="G48" s="14" t="s">
        <v>24</v>
      </c>
      <c r="H48" s="16">
        <v>0.00135960721330702</v>
      </c>
      <c r="I48" s="16">
        <v>0.0012572712991469231</v>
      </c>
      <c r="J48" s="14" t="s">
        <v>20</v>
      </c>
    </row>
    <row r="49">
      <c r="B49" s="14">
        <v>40</v>
      </c>
      <c r="C49" s="23" t="s">
        <v>750</v>
      </c>
      <c r="D49" s="24">
        <v>0.0892</v>
      </c>
      <c r="E49" s="15">
        <v>989604498</v>
      </c>
      <c r="F49" s="15">
        <v>997431878</v>
      </c>
      <c r="G49" s="14" t="s">
        <v>19</v>
      </c>
      <c r="H49" s="16">
        <v>0.012313916912062399</v>
      </c>
      <c r="I49" s="16">
        <v>0.011477131141035263</v>
      </c>
      <c r="J49" s="14" t="s">
        <v>20</v>
      </c>
      <c r="K49" s="7"/>
      <c r="L49" s="7"/>
      <c r="M49" s="7"/>
      <c r="N49" s="7"/>
      <c r="O49" s="7"/>
      <c r="P49" s="7"/>
    </row>
    <row r="50">
      <c r="B50" s="14">
        <v>41</v>
      </c>
      <c r="C50" s="23" t="s">
        <v>751</v>
      </c>
      <c r="D50" s="24">
        <v>0.0954</v>
      </c>
      <c r="E50" s="15">
        <v>1247175465</v>
      </c>
      <c r="F50" s="15">
        <v>1231682602</v>
      </c>
      <c r="G50" s="14" t="s">
        <v>20</v>
      </c>
      <c r="H50" s="16">
        <v>0.022042828795171897</v>
      </c>
      <c r="I50" s="16">
        <v>0.020130479383283342</v>
      </c>
      <c r="J50" s="14" t="s">
        <v>20</v>
      </c>
    </row>
    <row r="51">
      <c r="B51" s="14">
        <v>42</v>
      </c>
      <c r="C51" s="23" t="s">
        <v>752</v>
      </c>
      <c r="D51" s="24">
        <v>0.3609</v>
      </c>
      <c r="E51" s="15">
        <v>2668380971</v>
      </c>
      <c r="F51" s="15">
        <v>2580435939</v>
      </c>
      <c r="G51" s="14" t="s">
        <v>20</v>
      </c>
      <c r="H51" s="16">
        <v>0.00164959504514935</v>
      </c>
      <c r="I51" s="16">
        <v>0.0014751566176555845</v>
      </c>
      <c r="J51" s="14" t="s">
        <v>20</v>
      </c>
    </row>
    <row r="52">
      <c r="B52" s="14">
        <v>43</v>
      </c>
      <c r="C52" s="23" t="s">
        <v>753</v>
      </c>
      <c r="D52" s="24">
        <v>0.5559</v>
      </c>
      <c r="E52" s="15">
        <v>11491173402</v>
      </c>
      <c r="F52" s="15">
        <v>11576555444</v>
      </c>
      <c r="G52" s="14" t="s">
        <v>19</v>
      </c>
      <c r="H52" s="16">
        <v>0.0313298075136417</v>
      </c>
      <c r="I52" s="16">
        <v>0.02918691853318427</v>
      </c>
      <c r="J52" s="14" t="s">
        <v>20</v>
      </c>
    </row>
    <row r="53">
      <c r="B53" s="14">
        <v>44</v>
      </c>
      <c r="C53" s="23" t="s">
        <v>754</v>
      </c>
      <c r="D53" s="24">
        <v>0.1163</v>
      </c>
      <c r="E53" s="15">
        <v>449949869</v>
      </c>
      <c r="F53" s="15">
        <v>519499245</v>
      </c>
      <c r="G53" s="14" t="s">
        <v>19</v>
      </c>
      <c r="H53" s="16">
        <v>0.00075602280596044</v>
      </c>
      <c r="I53" s="16">
        <v>0.00080718155419591835</v>
      </c>
      <c r="J53" s="14" t="s">
        <v>24</v>
      </c>
    </row>
    <row r="54">
      <c r="B54" s="14">
        <v>45</v>
      </c>
      <c r="C54" s="23" t="s">
        <v>755</v>
      </c>
      <c r="D54" s="24">
        <v>0.15</v>
      </c>
      <c r="E54" s="15">
        <v>320674770</v>
      </c>
      <c r="F54" s="15">
        <v>320674770</v>
      </c>
      <c r="G54" s="14" t="s">
        <v>24</v>
      </c>
      <c r="H54" s="16">
        <v>0.00151476742657075</v>
      </c>
      <c r="I54" s="16">
        <v>0.0014007527987949886</v>
      </c>
      <c r="J54" s="14" t="s">
        <v>20</v>
      </c>
    </row>
    <row r="55">
      <c r="B55" s="14">
        <v>46</v>
      </c>
      <c r="C55" s="23" t="s">
        <v>756</v>
      </c>
      <c r="D55" s="24">
        <v>0.2769</v>
      </c>
      <c r="E55" s="15">
        <v>773276478</v>
      </c>
      <c r="F55" s="15">
        <v>773276478</v>
      </c>
      <c r="G55" s="14" t="s">
        <v>24</v>
      </c>
      <c r="H55" s="16">
        <v>0.00067415908389853</v>
      </c>
      <c r="I55" s="16">
        <v>0.00062341598257217683</v>
      </c>
      <c r="J55" s="14" t="s">
        <v>20</v>
      </c>
    </row>
    <row r="56">
      <c r="B56" s="14">
        <v>47</v>
      </c>
      <c r="C56" s="23" t="s">
        <v>757</v>
      </c>
      <c r="D56" s="24">
        <v>0.8738</v>
      </c>
      <c r="E56" s="15">
        <v>4919494799</v>
      </c>
      <c r="F56" s="15">
        <v>4919494799</v>
      </c>
      <c r="G56" s="14" t="s">
        <v>24</v>
      </c>
      <c r="H56" s="16">
        <v>0.00888976455023131</v>
      </c>
      <c r="I56" s="16">
        <v>0.0082206432189248883</v>
      </c>
      <c r="J56" s="14" t="s">
        <v>20</v>
      </c>
    </row>
    <row r="57">
      <c r="B57" s="14">
        <v>48</v>
      </c>
      <c r="C57" s="23" t="s">
        <v>758</v>
      </c>
      <c r="D57" s="24">
        <v>0.0933</v>
      </c>
      <c r="E57" s="15">
        <v>479066175</v>
      </c>
      <c r="F57" s="15">
        <v>479066175</v>
      </c>
      <c r="G57" s="14" t="s">
        <v>24</v>
      </c>
      <c r="H57" s="16">
        <v>0.00474613871289744</v>
      </c>
      <c r="I57" s="16">
        <v>0.0043889028571822246</v>
      </c>
      <c r="J57" s="14" t="s">
        <v>20</v>
      </c>
    </row>
    <row r="58">
      <c r="B58" s="14">
        <v>49</v>
      </c>
      <c r="C58" s="23" t="s">
        <v>759</v>
      </c>
      <c r="D58" s="24">
        <v>0.3893</v>
      </c>
      <c r="E58" s="15">
        <v>27678586371</v>
      </c>
      <c r="F58" s="15">
        <v>27600598551</v>
      </c>
      <c r="G58" s="14" t="s">
        <v>20</v>
      </c>
      <c r="H58" s="16">
        <v>0.0320281362429766</v>
      </c>
      <c r="I58" s="16">
        <v>0.029533968229565784</v>
      </c>
      <c r="J58" s="14" t="s">
        <v>20</v>
      </c>
    </row>
    <row r="59">
      <c r="B59" s="14">
        <v>50</v>
      </c>
      <c r="C59" s="23" t="s">
        <v>760</v>
      </c>
      <c r="D59" s="24">
        <v>0.3095</v>
      </c>
      <c r="E59" s="15">
        <v>345862893</v>
      </c>
      <c r="F59" s="15">
        <v>362248953</v>
      </c>
      <c r="G59" s="14" t="s">
        <v>19</v>
      </c>
      <c r="H59" s="16">
        <v>0.00160085399014456</v>
      </c>
      <c r="I59" s="16">
        <v>0.0015504952235555836</v>
      </c>
      <c r="J59" s="14" t="s">
        <v>24</v>
      </c>
    </row>
    <row r="60">
      <c r="B60" s="14">
        <v>51</v>
      </c>
      <c r="C60" s="23" t="s">
        <v>761</v>
      </c>
      <c r="D60" s="24">
        <v>0.3848</v>
      </c>
      <c r="E60" s="15">
        <v>4822724306</v>
      </c>
      <c r="F60" s="15">
        <v>4822724306</v>
      </c>
      <c r="G60" s="14" t="s">
        <v>24</v>
      </c>
      <c r="H60" s="16">
        <v>0.0039752155361921</v>
      </c>
      <c r="I60" s="16">
        <v>0.0036760060916873022</v>
      </c>
      <c r="J60" s="14" t="s">
        <v>20</v>
      </c>
    </row>
    <row r="61">
      <c r="B61" s="14">
        <v>52</v>
      </c>
      <c r="C61" s="23" t="s">
        <v>762</v>
      </c>
      <c r="D61" s="24">
        <v>0.076</v>
      </c>
      <c r="E61" s="15">
        <v>72062744</v>
      </c>
      <c r="F61" s="15">
        <v>72062744</v>
      </c>
      <c r="G61" s="14" t="s">
        <v>24</v>
      </c>
      <c r="H61" s="16">
        <v>0.026672429848617098</v>
      </c>
      <c r="I61" s="16">
        <v>0.0246648297987865</v>
      </c>
      <c r="J61" s="14" t="s">
        <v>20</v>
      </c>
    </row>
    <row r="62">
      <c r="B62" s="14">
        <v>53</v>
      </c>
      <c r="C62" s="23" t="s">
        <v>763</v>
      </c>
      <c r="D62" s="24">
        <v>0.0855</v>
      </c>
      <c r="E62" s="15">
        <v>1123617855</v>
      </c>
      <c r="F62" s="15">
        <v>589021009</v>
      </c>
      <c r="G62" s="14" t="s">
        <v>20</v>
      </c>
      <c r="H62" s="16">
        <v>0.00537886291783626</v>
      </c>
      <c r="I62" s="16">
        <v>0.0026074631001646955</v>
      </c>
      <c r="J62" s="14" t="s">
        <v>20</v>
      </c>
    </row>
    <row r="63">
      <c r="B63" s="14">
        <v>54</v>
      </c>
      <c r="C63" s="23" t="s">
        <v>764</v>
      </c>
      <c r="D63" s="24">
        <v>0.1478</v>
      </c>
      <c r="E63" s="15">
        <v>648427668</v>
      </c>
      <c r="F63" s="15">
        <v>653182007</v>
      </c>
      <c r="G63" s="14" t="s">
        <v>19</v>
      </c>
      <c r="H63" s="16">
        <v>0.096617165614820311</v>
      </c>
      <c r="I63" s="16">
        <v>0.09</v>
      </c>
      <c r="J63" s="14" t="s">
        <v>20</v>
      </c>
    </row>
    <row r="64">
      <c r="B64" s="14">
        <v>55</v>
      </c>
      <c r="C64" s="23" t="s">
        <v>765</v>
      </c>
      <c r="D64" s="24">
        <v>0.2054</v>
      </c>
      <c r="E64" s="15">
        <v>1167406765</v>
      </c>
      <c r="F64" s="15">
        <v>1572362948</v>
      </c>
      <c r="G64" s="14" t="s">
        <v>19</v>
      </c>
      <c r="H64" s="16">
        <v>0.00943750692461001</v>
      </c>
      <c r="I64" s="16">
        <v>0.01175447997276791</v>
      </c>
      <c r="J64" s="14" t="s">
        <v>19</v>
      </c>
    </row>
    <row r="65">
      <c r="B65" s="14">
        <v>56</v>
      </c>
      <c r="C65" s="23" t="s">
        <v>766</v>
      </c>
      <c r="D65" s="24">
        <v>0.1008</v>
      </c>
      <c r="E65" s="15">
        <v>23471078</v>
      </c>
      <c r="F65" s="15">
        <v>23471078</v>
      </c>
      <c r="G65" s="14" t="s">
        <v>24</v>
      </c>
      <c r="H65" s="16">
        <v>0.00018602355623079998</v>
      </c>
      <c r="I65" s="16">
        <v>0.00017202180143439643</v>
      </c>
      <c r="J65" s="14" t="s">
        <v>24</v>
      </c>
    </row>
    <row r="66">
      <c r="B66" s="14">
        <v>57</v>
      </c>
      <c r="C66" s="23" t="s">
        <v>767</v>
      </c>
      <c r="D66" s="24">
        <v>0.5729</v>
      </c>
      <c r="E66" s="15">
        <v>6304724009</v>
      </c>
      <c r="F66" s="15">
        <v>6304724009</v>
      </c>
      <c r="G66" s="14" t="s">
        <v>24</v>
      </c>
      <c r="H66" s="16">
        <v>0.00379764686444317</v>
      </c>
      <c r="I66" s="16">
        <v>0.003511802789347681</v>
      </c>
      <c r="J66" s="14" t="s">
        <v>20</v>
      </c>
    </row>
    <row r="67">
      <c r="B67" s="14">
        <v>58</v>
      </c>
      <c r="C67" s="23" t="s">
        <v>768</v>
      </c>
      <c r="D67" s="24">
        <v>0.2475</v>
      </c>
      <c r="E67" s="15">
        <v>5494220771</v>
      </c>
      <c r="F67" s="15">
        <v>5494220771</v>
      </c>
      <c r="G67" s="14" t="s">
        <v>24</v>
      </c>
      <c r="H67" s="16">
        <v>0.0175922900755381</v>
      </c>
      <c r="I67" s="16">
        <v>0.016268140660054019</v>
      </c>
      <c r="J67" s="14" t="s">
        <v>20</v>
      </c>
    </row>
    <row r="68">
      <c r="B68" s="14">
        <v>59</v>
      </c>
      <c r="C68" s="23" t="s">
        <v>769</v>
      </c>
      <c r="D68" s="24">
        <v>0.21</v>
      </c>
      <c r="E68" s="15">
        <v>461483548</v>
      </c>
      <c r="F68" s="15">
        <v>461483548</v>
      </c>
      <c r="G68" s="14" t="s">
        <v>24</v>
      </c>
      <c r="H68" s="16">
        <v>0.0013971868570778901</v>
      </c>
      <c r="I68" s="16">
        <v>0.0012920223701496807</v>
      </c>
      <c r="J68" s="14" t="s">
        <v>20</v>
      </c>
    </row>
    <row r="69">
      <c r="B69" s="14">
        <v>60</v>
      </c>
      <c r="C69" s="23" t="s">
        <v>770</v>
      </c>
      <c r="D69" s="24">
        <v>0.2123</v>
      </c>
      <c r="E69" s="15">
        <v>625268295</v>
      </c>
      <c r="F69" s="15">
        <v>625268295</v>
      </c>
      <c r="G69" s="14" t="s">
        <v>24</v>
      </c>
      <c r="H69" s="16">
        <v>0.00525299731628548</v>
      </c>
      <c r="I69" s="16">
        <v>0.0048576108564981554</v>
      </c>
      <c r="J69" s="14" t="s">
        <v>20</v>
      </c>
    </row>
    <row r="70">
      <c r="B70" s="14">
        <v>61</v>
      </c>
      <c r="C70" s="23" t="s">
        <v>771</v>
      </c>
      <c r="D70" s="24">
        <v>0.2856</v>
      </c>
      <c r="E70" s="15">
        <v>892500000</v>
      </c>
      <c r="F70" s="15">
        <v>892500000</v>
      </c>
      <c r="G70" s="14" t="s">
        <v>24</v>
      </c>
      <c r="H70" s="16">
        <v>0.00074980614598167</v>
      </c>
      <c r="I70" s="16">
        <v>0.00069336918599790772</v>
      </c>
      <c r="J70" s="14" t="s">
        <v>24</v>
      </c>
    </row>
    <row r="71">
      <c r="B71" s="14">
        <v>62</v>
      </c>
      <c r="C71" s="23" t="s">
        <v>772</v>
      </c>
      <c r="D71" s="24">
        <v>0.1591</v>
      </c>
      <c r="E71" s="15">
        <v>560670540</v>
      </c>
      <c r="F71" s="15">
        <v>799988387</v>
      </c>
      <c r="G71" s="14" t="s">
        <v>19</v>
      </c>
      <c r="H71" s="16">
        <v>0.0682104669659101</v>
      </c>
      <c r="I71" s="16">
        <v>0.09</v>
      </c>
      <c r="J71" s="14" t="s">
        <v>19</v>
      </c>
    </row>
    <row r="72">
      <c r="B72" s="14">
        <v>63</v>
      </c>
      <c r="C72" s="23" t="s">
        <v>773</v>
      </c>
      <c r="D72" s="24">
        <v>0.0201</v>
      </c>
      <c r="E72" s="15">
        <v>71710000</v>
      </c>
      <c r="F72" s="15">
        <v>71355000</v>
      </c>
      <c r="G72" s="14" t="s">
        <v>20</v>
      </c>
      <c r="H72" s="16">
        <v>0.00285310888025257</v>
      </c>
      <c r="I72" s="16">
        <v>0.0026252978013819686</v>
      </c>
      <c r="J72" s="14" t="s">
        <v>20</v>
      </c>
    </row>
    <row r="73">
      <c r="B73" s="14">
        <v>64</v>
      </c>
      <c r="C73" s="23" t="s">
        <v>774</v>
      </c>
      <c r="D73" s="24">
        <v>0.2</v>
      </c>
      <c r="E73" s="15">
        <v>402105280</v>
      </c>
      <c r="F73" s="15">
        <v>402105280</v>
      </c>
      <c r="G73" s="14" t="s">
        <v>24</v>
      </c>
      <c r="H73" s="16">
        <v>0.00570463303623981</v>
      </c>
      <c r="I73" s="16">
        <v>0.0052752525248720341</v>
      </c>
      <c r="J73" s="14" t="s">
        <v>20</v>
      </c>
    </row>
    <row r="74">
      <c r="B74" s="14">
        <v>65</v>
      </c>
      <c r="C74" s="23" t="s">
        <v>775</v>
      </c>
      <c r="D74" s="24">
        <v>0.15</v>
      </c>
      <c r="E74" s="15">
        <v>1247823540</v>
      </c>
      <c r="F74" s="15">
        <v>1247823540</v>
      </c>
      <c r="G74" s="14" t="s">
        <v>24</v>
      </c>
      <c r="H74" s="16">
        <v>0.00221531811324923</v>
      </c>
      <c r="I74" s="16">
        <v>0.0020485739215954481</v>
      </c>
      <c r="J74" s="14" t="s">
        <v>20</v>
      </c>
    </row>
    <row r="75">
      <c r="B75" s="14">
        <v>66</v>
      </c>
      <c r="C75" s="23" t="s">
        <v>776</v>
      </c>
      <c r="D75" s="24">
        <v>0.2029</v>
      </c>
      <c r="E75" s="15">
        <v>1702101765</v>
      </c>
      <c r="F75" s="15">
        <v>1702101765</v>
      </c>
      <c r="G75" s="14" t="s">
        <v>24</v>
      </c>
      <c r="H75" s="16">
        <v>0.0013490263352711198</v>
      </c>
      <c r="I75" s="16">
        <v>0.0012474868296001008</v>
      </c>
      <c r="J75" s="14" t="s">
        <v>20</v>
      </c>
    </row>
    <row r="76">
      <c r="B76" s="14">
        <v>67</v>
      </c>
      <c r="C76" s="23" t="s">
        <v>777</v>
      </c>
      <c r="D76" s="24">
        <v>0.2034</v>
      </c>
      <c r="E76" s="15">
        <v>12137772227</v>
      </c>
      <c r="F76" s="15">
        <v>12544831661</v>
      </c>
      <c r="G76" s="14" t="s">
        <v>19</v>
      </c>
      <c r="H76" s="16">
        <v>0.0061567832325684</v>
      </c>
      <c r="I76" s="16">
        <v>0.0058843061350380213</v>
      </c>
      <c r="J76" s="14" t="s">
        <v>20</v>
      </c>
    </row>
    <row r="77" s="7" customFormat="1">
      <c r="B77" s="14">
        <v>68</v>
      </c>
      <c r="C77" s="23" t="s">
        <v>778</v>
      </c>
      <c r="D77" s="24">
        <v>0.098</v>
      </c>
      <c r="E77" s="15">
        <v>64593760</v>
      </c>
      <c r="F77" s="15">
        <v>64593760</v>
      </c>
      <c r="G77" s="14" t="s">
        <v>24</v>
      </c>
      <c r="H77" s="16">
        <v>0.00028464283940041</v>
      </c>
      <c r="I77" s="16">
        <v>0.00026321813299730226</v>
      </c>
      <c r="J77" s="14" t="s">
        <v>24</v>
      </c>
      <c r="K77" s="6"/>
      <c r="L77" s="6"/>
      <c r="M77" s="6"/>
      <c r="N77" s="6"/>
      <c r="O77" s="6"/>
      <c r="P77" s="6"/>
    </row>
    <row r="78" s="7" customFormat="1">
      <c r="B78" s="14">
        <v>69</v>
      </c>
      <c r="C78" s="23" t="s">
        <v>779</v>
      </c>
      <c r="D78" s="24">
        <v>0.1474</v>
      </c>
      <c r="E78" s="15">
        <v>147400000</v>
      </c>
      <c r="F78" s="15">
        <v>147400000</v>
      </c>
      <c r="G78" s="14" t="s">
        <v>24</v>
      </c>
      <c r="H78" s="16">
        <v>0.00031542503036603</v>
      </c>
      <c r="I78" s="16">
        <v>0.00029168338739331674</v>
      </c>
      <c r="J78" s="14" t="s">
        <v>24</v>
      </c>
    </row>
    <row r="79">
      <c r="B79" s="14">
        <v>70</v>
      </c>
      <c r="C79" s="23" t="s">
        <v>780</v>
      </c>
      <c r="D79" s="24">
        <v>0.3092</v>
      </c>
      <c r="E79" s="15">
        <v>14890949062</v>
      </c>
      <c r="F79" s="15">
        <v>14890949062</v>
      </c>
      <c r="G79" s="14" t="s">
        <v>24</v>
      </c>
      <c r="H79" s="16">
        <v>0.0783655819860319</v>
      </c>
      <c r="I79" s="16">
        <v>0.0724671037752837</v>
      </c>
      <c r="J79" s="14" t="s">
        <v>20</v>
      </c>
      <c r="K79" s="7"/>
      <c r="L79" s="7"/>
      <c r="M79" s="7"/>
      <c r="N79" s="7"/>
      <c r="O79" s="7"/>
      <c r="P79" s="7"/>
    </row>
    <row r="80">
      <c r="B80" s="14">
        <v>71</v>
      </c>
      <c r="C80" s="23" t="s">
        <v>781</v>
      </c>
      <c r="D80" s="24">
        <v>0.4697</v>
      </c>
      <c r="E80" s="15">
        <v>1243638845</v>
      </c>
      <c r="F80" s="15">
        <v>1247623164</v>
      </c>
      <c r="G80" s="14" t="s">
        <v>19</v>
      </c>
      <c r="H80" s="16">
        <v>0.00084767160557241994</v>
      </c>
      <c r="I80" s="16">
        <v>0.00078637976196298514</v>
      </c>
      <c r="J80" s="14" t="s">
        <v>24</v>
      </c>
    </row>
    <row r="81">
      <c r="B81" s="14">
        <v>72</v>
      </c>
      <c r="C81" s="23" t="s">
        <v>782</v>
      </c>
      <c r="D81" s="24">
        <v>0.21</v>
      </c>
      <c r="E81" s="15">
        <v>56555520</v>
      </c>
      <c r="F81" s="15">
        <v>56448000</v>
      </c>
      <c r="G81" s="14" t="s">
        <v>20</v>
      </c>
      <c r="H81" s="16">
        <v>0.014769484067300699</v>
      </c>
      <c r="I81" s="16">
        <v>0.013631838281056668</v>
      </c>
      <c r="J81" s="14" t="s">
        <v>20</v>
      </c>
    </row>
    <row r="82">
      <c r="B82" s="14">
        <v>73</v>
      </c>
      <c r="C82" s="23" t="s">
        <v>783</v>
      </c>
      <c r="D82" s="24">
        <v>0.377</v>
      </c>
      <c r="E82" s="15">
        <v>2500871027</v>
      </c>
      <c r="F82" s="15">
        <v>2500871027</v>
      </c>
      <c r="G82" s="14" t="s">
        <v>24</v>
      </c>
      <c r="H82" s="16">
        <v>0.00198210291882257</v>
      </c>
      <c r="I82" s="16">
        <v>0.0018329125397453894</v>
      </c>
      <c r="J82" s="14" t="s">
        <v>20</v>
      </c>
    </row>
    <row r="83">
      <c r="B83" s="14">
        <v>74</v>
      </c>
      <c r="C83" s="23" t="s">
        <v>784</v>
      </c>
      <c r="D83" s="24">
        <v>0.783</v>
      </c>
      <c r="E83" s="15">
        <v>35298109800</v>
      </c>
      <c r="F83" s="15">
        <v>35298109800</v>
      </c>
      <c r="G83" s="14" t="s">
        <v>24</v>
      </c>
      <c r="H83" s="16">
        <v>0.0279760474283344</v>
      </c>
      <c r="I83" s="16">
        <v>0.025870325732562514</v>
      </c>
      <c r="J83" s="14" t="s">
        <v>20</v>
      </c>
    </row>
    <row r="84">
      <c r="B84" s="14">
        <v>75</v>
      </c>
      <c r="C84" s="23" t="s">
        <v>785</v>
      </c>
      <c r="D84" s="24">
        <v>0.1732</v>
      </c>
      <c r="E84" s="15">
        <v>1206146328</v>
      </c>
      <c r="F84" s="15">
        <v>2805597518</v>
      </c>
      <c r="G84" s="14" t="s">
        <v>19</v>
      </c>
      <c r="H84" s="16">
        <v>0.0391939253920961</v>
      </c>
      <c r="I84" s="16">
        <v>0.084306230713649954</v>
      </c>
      <c r="J84" s="14" t="s">
        <v>19</v>
      </c>
    </row>
    <row r="85">
      <c r="B85" s="14">
        <v>76</v>
      </c>
      <c r="C85" s="23" t="s">
        <v>786</v>
      </c>
      <c r="D85" s="24">
        <v>0.2</v>
      </c>
      <c r="E85" s="15">
        <v>287037020</v>
      </c>
      <c r="F85" s="15">
        <v>287037020</v>
      </c>
      <c r="G85" s="14" t="s">
        <v>24</v>
      </c>
      <c r="H85" s="16">
        <v>0.012830746435202</v>
      </c>
      <c r="I85" s="16">
        <v>0.011864992383963546</v>
      </c>
      <c r="J85" s="14" t="s">
        <v>20</v>
      </c>
    </row>
    <row r="86">
      <c r="B86" s="14">
        <v>77</v>
      </c>
      <c r="C86" s="23" t="s">
        <v>787</v>
      </c>
      <c r="D86" s="24">
        <v>0.1149</v>
      </c>
      <c r="E86" s="15">
        <v>1387756290</v>
      </c>
      <c r="F86" s="15">
        <v>1561735531</v>
      </c>
      <c r="G86" s="14" t="s">
        <v>19</v>
      </c>
      <c r="H86" s="16">
        <v>0.00118787807303637</v>
      </c>
      <c r="I86" s="16">
        <v>0.001236179945609307</v>
      </c>
      <c r="J86" s="14" t="s">
        <v>24</v>
      </c>
    </row>
    <row r="87">
      <c r="B87" s="14">
        <v>78</v>
      </c>
      <c r="C87" s="23" t="s">
        <v>788</v>
      </c>
      <c r="D87" s="24">
        <v>0.2004</v>
      </c>
      <c r="E87" s="15">
        <v>1609918863</v>
      </c>
      <c r="F87" s="15">
        <v>1609918863</v>
      </c>
      <c r="G87" s="14" t="s">
        <v>24</v>
      </c>
      <c r="H87" s="16">
        <v>0.00076557923450720007</v>
      </c>
      <c r="I87" s="16">
        <v>0.000707955054063373</v>
      </c>
      <c r="J87" s="14" t="s">
        <v>20</v>
      </c>
    </row>
    <row r="88">
      <c r="B88" s="14">
        <v>79</v>
      </c>
      <c r="C88" s="23" t="s">
        <v>789</v>
      </c>
      <c r="D88" s="24">
        <v>0.1822</v>
      </c>
      <c r="E88" s="15">
        <v>255750000</v>
      </c>
      <c r="F88" s="15">
        <v>250525000</v>
      </c>
      <c r="G88" s="14" t="s">
        <v>20</v>
      </c>
      <c r="H88" s="16">
        <v>0.0010378163519837598</v>
      </c>
      <c r="I88" s="16">
        <v>0.00094009442888777993</v>
      </c>
      <c r="J88" s="14" t="s">
        <v>20</v>
      </c>
    </row>
    <row r="89">
      <c r="B89" s="14">
        <v>80</v>
      </c>
      <c r="C89" s="23" t="s">
        <v>790</v>
      </c>
      <c r="D89" s="24">
        <v>0.0102</v>
      </c>
      <c r="E89" s="15">
        <v>48675810</v>
      </c>
      <c r="F89" s="15">
        <v>48675810</v>
      </c>
      <c r="G89" s="14" t="s">
        <v>24</v>
      </c>
      <c r="H89" s="16">
        <v>0.00044751343944208</v>
      </c>
      <c r="I89" s="16">
        <v>0.00041382966917902849</v>
      </c>
      <c r="J89" s="14" t="s">
        <v>24</v>
      </c>
    </row>
    <row r="90">
      <c r="B90" s="14">
        <v>81</v>
      </c>
      <c r="C90" s="23" t="s">
        <v>791</v>
      </c>
      <c r="D90" s="24">
        <v>0.4486</v>
      </c>
      <c r="E90" s="15">
        <v>7843220827</v>
      </c>
      <c r="F90" s="15">
        <v>7405743765</v>
      </c>
      <c r="G90" s="14" t="s">
        <v>20</v>
      </c>
      <c r="H90" s="16">
        <v>0.0407786822929726</v>
      </c>
      <c r="I90" s="16">
        <v>0.035605982022813926</v>
      </c>
      <c r="J90" s="14" t="s">
        <v>20</v>
      </c>
    </row>
    <row r="91">
      <c r="B91" s="14">
        <v>82</v>
      </c>
      <c r="C91" s="23" t="s">
        <v>792</v>
      </c>
      <c r="D91" s="24">
        <v>0.6859</v>
      </c>
      <c r="E91" s="15">
        <v>6906770020</v>
      </c>
      <c r="F91" s="15">
        <v>6906770020</v>
      </c>
      <c r="G91" s="14" t="s">
        <v>24</v>
      </c>
      <c r="H91" s="16">
        <v>0.0030654760546817202</v>
      </c>
      <c r="I91" s="16">
        <v>0.0028347415503308321</v>
      </c>
      <c r="J91" s="14" t="s">
        <v>20</v>
      </c>
    </row>
    <row r="92">
      <c r="B92" s="14">
        <v>83</v>
      </c>
      <c r="C92" s="23" t="s">
        <v>793</v>
      </c>
      <c r="D92" s="24">
        <v>0.223</v>
      </c>
      <c r="E92" s="15">
        <v>618543089</v>
      </c>
      <c r="F92" s="15">
        <v>1014975087</v>
      </c>
      <c r="G92" s="14" t="s">
        <v>19</v>
      </c>
      <c r="H92" s="16">
        <v>0.0075006050084100292</v>
      </c>
      <c r="I92" s="16">
        <v>0.011381441237378926</v>
      </c>
      <c r="J92" s="14" t="s">
        <v>19</v>
      </c>
    </row>
    <row r="93">
      <c r="B93" s="14">
        <v>84</v>
      </c>
      <c r="C93" s="23" t="s">
        <v>794</v>
      </c>
      <c r="D93" s="24">
        <v>0.1777</v>
      </c>
      <c r="E93" s="15">
        <v>1345385867</v>
      </c>
      <c r="F93" s="15">
        <v>1345385867</v>
      </c>
      <c r="G93" s="14" t="s">
        <v>24</v>
      </c>
      <c r="H93" s="16">
        <v>0.00309228678843727</v>
      </c>
      <c r="I93" s="16">
        <v>0.0028595342735163636</v>
      </c>
      <c r="J93" s="14" t="s">
        <v>20</v>
      </c>
    </row>
    <row r="94">
      <c r="B94" s="14">
        <v>85</v>
      </c>
      <c r="C94" s="23" t="s">
        <v>795</v>
      </c>
      <c r="D94" s="24">
        <v>0.1393</v>
      </c>
      <c r="E94" s="15">
        <v>168553000</v>
      </c>
      <c r="F94" s="15">
        <v>168553000</v>
      </c>
      <c r="G94" s="14" t="s">
        <v>24</v>
      </c>
      <c r="H94" s="16">
        <v>0.00908406651023528</v>
      </c>
      <c r="I94" s="16">
        <v>0.0084003203168018219</v>
      </c>
      <c r="J94" s="14" t="s">
        <v>20</v>
      </c>
    </row>
    <row r="95">
      <c r="B95" s="14">
        <v>86</v>
      </c>
      <c r="C95" s="23" t="s">
        <v>796</v>
      </c>
      <c r="D95" s="24">
        <v>0.0913</v>
      </c>
      <c r="E95" s="15">
        <v>295092797</v>
      </c>
      <c r="F95" s="15">
        <v>295092797</v>
      </c>
      <c r="G95" s="14" t="s">
        <v>24</v>
      </c>
      <c r="H95" s="16">
        <v>0.00066889746153056</v>
      </c>
      <c r="I95" s="16">
        <v>0.00061855039593013226</v>
      </c>
      <c r="J95" s="14" t="s">
        <v>20</v>
      </c>
    </row>
    <row r="96">
      <c r="B96" s="14">
        <v>87</v>
      </c>
      <c r="C96" s="23" t="s">
        <v>797</v>
      </c>
      <c r="D96" s="24">
        <v>0.2077</v>
      </c>
      <c r="E96" s="15">
        <v>634673550</v>
      </c>
      <c r="F96" s="15">
        <v>634676585</v>
      </c>
      <c r="G96" s="14" t="s">
        <v>19</v>
      </c>
      <c r="H96" s="16">
        <v>0.00104628172638081</v>
      </c>
      <c r="I96" s="16">
        <v>0.00096753405137922611</v>
      </c>
      <c r="J96" s="14" t="s">
        <v>24</v>
      </c>
    </row>
    <row r="97">
      <c r="B97" s="14">
        <v>88</v>
      </c>
      <c r="C97" s="23" t="s">
        <v>798</v>
      </c>
      <c r="D97" s="24">
        <v>0.3182</v>
      </c>
      <c r="E97" s="15">
        <v>1499918043</v>
      </c>
      <c r="F97" s="15">
        <v>1665877561</v>
      </c>
      <c r="G97" s="14" t="s">
        <v>19</v>
      </c>
      <c r="H97" s="16">
        <v>0.00064194259736748</v>
      </c>
      <c r="I97" s="16">
        <v>0.00065930639063895393</v>
      </c>
      <c r="J97" s="14" t="s">
        <v>19</v>
      </c>
    </row>
    <row r="98" ht="14.5" customHeight="1">
      <c r="B98" s="30" t="s">
        <v>112</v>
      </c>
      <c r="C98" s="30"/>
      <c r="D98" s="30"/>
      <c r="E98" s="30"/>
      <c r="F98" s="30"/>
      <c r="G98" s="30"/>
      <c r="H98" s="30"/>
      <c r="I98" s="30"/>
      <c r="J98" s="30"/>
    </row>
    <row r="99">
      <c r="B99" s="31"/>
      <c r="C99" s="31"/>
      <c r="D99" s="31"/>
      <c r="E99" s="31"/>
      <c r="F99" s="31"/>
      <c r="G99" s="31"/>
      <c r="H99" s="31"/>
      <c r="I99" s="31"/>
      <c r="J99" s="31"/>
    </row>
    <row r="100">
      <c r="B100" s="9"/>
      <c r="C100" s="10"/>
      <c r="D100" s="10"/>
      <c r="E100" s="8"/>
      <c r="F100" s="11"/>
      <c r="G100" s="11"/>
      <c r="H100" s="9"/>
    </row>
    <row r="101">
      <c r="D101" s="26"/>
      <c r="E101" s="26"/>
    </row>
  </sheetData>
  <sortState xmlns:xlrd2="http://schemas.microsoft.com/office/spreadsheetml/2017/richdata2" ref="C88:D88">
    <sortCondition ref="C87:C88"/>
  </sortState>
  <mergeCells>
    <mergeCell ref="B98:J99"/>
    <mergeCell ref="B2:H2"/>
    <mergeCell ref="B8:B9"/>
    <mergeCell ref="C8:C9"/>
    <mergeCell ref="D8:D9"/>
    <mergeCell ref="E8:G8"/>
    <mergeCell ref="H8:J8"/>
  </mergeCells>
  <conditionalFormatting sqref="B98">
    <cfRule type="expression" dxfId="0" priority="1">
      <formula>$H98="Baru"</formula>
    </cfRule>
  </conditionalFormatting>
  <conditionalFormatting sqref="B100:H100">
    <cfRule type="expression" dxfId="0" priority="5">
      <formula>$H100="Baru"</formula>
    </cfRule>
  </conditionalFormatting>
  <conditionalFormatting sqref="B10:J97">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5CECD-FC2B-4F59-9CE4-53C64C7A6918}">
  <dimension ref="A2:P53"/>
  <sheetViews>
    <sheetView workbookViewId="0">
      <selection activeCell="F6" sqref="F6"/>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2" width="8.81640625" customWidth="1" style="6"/>
    <col min="13" max="13" bestFit="1" width="8.81640625" customWidth="1" style="6"/>
    <col min="14" max="15" bestFit="1" width="11.81640625" customWidth="1" style="6"/>
    <col min="16" max="16384" width="8.81640625" customWidth="1" style="6"/>
  </cols>
  <sheetData>
    <row r="2">
      <c r="B2" s="32" t="str">
        <f>LEFT('A ENERGY'!B2,9) &amp; (VALUE(MID('A ENERGY'!B2,10,1))+8) &amp; _xlfn.TEXTAFTER('A ENERGY'!B2,"Lampiran 5")</f>
        <v>Lampiran 13 Pengumuman BEI No. Peng-00044/BEI.POP/03-2026 tanggal 25 Maret 2026</v>
      </c>
      <c r="C2" s="32"/>
      <c r="D2" s="32"/>
      <c r="E2" s="32"/>
      <c r="F2" s="32"/>
      <c r="G2" s="32"/>
      <c r="H2" s="32"/>
    </row>
    <row r="3">
      <c r="B3" s="5" t="s">
        <v>1</v>
      </c>
      <c r="F3" s="22"/>
      <c r="G3" s="22" t="s">
        <v>799</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800</v>
      </c>
      <c r="G9" s="25" t="s">
        <v>15</v>
      </c>
      <c r="H9" s="13" t="s">
        <v>16</v>
      </c>
      <c r="I9" s="13" t="s">
        <v>17</v>
      </c>
      <c r="J9" s="25" t="s">
        <v>15</v>
      </c>
    </row>
    <row r="10">
      <c r="B10" s="14">
        <v>1</v>
      </c>
      <c r="C10" s="23" t="s">
        <v>801</v>
      </c>
      <c r="D10" s="24">
        <v>0.2006</v>
      </c>
      <c r="E10" s="15">
        <v>509443961</v>
      </c>
      <c r="F10" s="15">
        <v>509443961</v>
      </c>
      <c r="G10" s="14" t="s">
        <v>24</v>
      </c>
      <c r="H10" s="16">
        <v>0.0015373690840729802</v>
      </c>
      <c r="I10" s="16">
        <v>0.001732578646103563</v>
      </c>
      <c r="J10" s="14" t="s">
        <v>19</v>
      </c>
    </row>
    <row r="11">
      <c r="B11" s="14">
        <v>2</v>
      </c>
      <c r="C11" s="23" t="s">
        <v>802</v>
      </c>
      <c r="D11" s="24">
        <v>0.1073</v>
      </c>
      <c r="E11" s="15">
        <v>248438273</v>
      </c>
      <c r="F11" s="15">
        <v>248438273</v>
      </c>
      <c r="G11" s="14" t="s">
        <v>24</v>
      </c>
      <c r="H11" s="16">
        <v>0.00115994716899974</v>
      </c>
      <c r="I11" s="16">
        <v>0.0013072330653598288</v>
      </c>
      <c r="J11" s="14" t="s">
        <v>19</v>
      </c>
    </row>
    <row r="12">
      <c r="B12" s="14">
        <v>3</v>
      </c>
      <c r="C12" s="23" t="s">
        <v>803</v>
      </c>
      <c r="D12" s="24">
        <v>0.1173</v>
      </c>
      <c r="E12" s="15">
        <v>402925500</v>
      </c>
      <c r="F12" s="15">
        <v>402925500</v>
      </c>
      <c r="G12" s="14" t="s">
        <v>24</v>
      </c>
      <c r="H12" s="16">
        <v>0.00057737278040891006</v>
      </c>
      <c r="I12" s="16">
        <v>0.00065068548686639087</v>
      </c>
      <c r="J12" s="14" t="s">
        <v>19</v>
      </c>
    </row>
    <row r="13">
      <c r="B13" s="14">
        <v>4</v>
      </c>
      <c r="C13" s="23" t="s">
        <v>804</v>
      </c>
      <c r="D13" s="24">
        <v>0.2035</v>
      </c>
      <c r="E13" s="15">
        <v>1188465743</v>
      </c>
      <c r="F13" s="15">
        <v>1188465743</v>
      </c>
      <c r="G13" s="14" t="s">
        <v>24</v>
      </c>
      <c r="H13" s="16">
        <v>0.00127444094596854</v>
      </c>
      <c r="I13" s="16">
        <v>0.0014362648454751491</v>
      </c>
      <c r="J13" s="14" t="s">
        <v>19</v>
      </c>
    </row>
    <row r="14">
      <c r="B14" s="14">
        <v>5</v>
      </c>
      <c r="C14" s="23" t="s">
        <v>805</v>
      </c>
      <c r="D14" s="24">
        <v>0.2304</v>
      </c>
      <c r="E14" s="15">
        <v>29302818871</v>
      </c>
      <c r="F14" s="15">
        <v>31298200287</v>
      </c>
      <c r="G14" s="14" t="s">
        <v>19</v>
      </c>
      <c r="H14" s="16">
        <v>0.11567974860015101</v>
      </c>
      <c r="I14" s="16">
        <v>0.13924580345062748</v>
      </c>
      <c r="J14" s="14" t="s">
        <v>19</v>
      </c>
    </row>
    <row r="15">
      <c r="B15" s="14">
        <v>6</v>
      </c>
      <c r="C15" s="23" t="s">
        <v>806</v>
      </c>
      <c r="D15" s="24">
        <v>0.3195</v>
      </c>
      <c r="E15" s="15">
        <v>45034725069</v>
      </c>
      <c r="F15" s="15">
        <v>32956011588</v>
      </c>
      <c r="G15" s="14" t="s">
        <v>20</v>
      </c>
      <c r="H15" s="16">
        <v>0.059404168450043</v>
      </c>
      <c r="I15" s="16">
        <v>0.048991289031619194</v>
      </c>
      <c r="J15" s="14" t="s">
        <v>20</v>
      </c>
    </row>
    <row r="16">
      <c r="B16" s="14">
        <v>7</v>
      </c>
      <c r="C16" s="23" t="s">
        <v>807</v>
      </c>
      <c r="D16" s="24">
        <v>0.2093</v>
      </c>
      <c r="E16" s="15">
        <v>1404641253</v>
      </c>
      <c r="F16" s="15">
        <v>1405323300</v>
      </c>
      <c r="G16" s="14" t="s">
        <v>19</v>
      </c>
      <c r="H16" s="16">
        <v>0.019194752475756</v>
      </c>
      <c r="I16" s="16">
        <v>0.021642536491452882</v>
      </c>
      <c r="J16" s="14" t="s">
        <v>19</v>
      </c>
    </row>
    <row r="17" s="7" customFormat="1">
      <c r="B17" s="14">
        <v>8</v>
      </c>
      <c r="C17" s="23" t="s">
        <v>808</v>
      </c>
      <c r="D17" s="24">
        <v>0.1855</v>
      </c>
      <c r="E17" s="15">
        <v>147366037</v>
      </c>
      <c r="F17" s="15">
        <v>118344620</v>
      </c>
      <c r="G17" s="14" t="s">
        <v>20</v>
      </c>
      <c r="H17" s="16">
        <v>0.276232058547826</v>
      </c>
      <c r="I17" s="16">
        <v>0.25</v>
      </c>
      <c r="J17" s="14" t="s">
        <v>20</v>
      </c>
      <c r="K17" s="6"/>
      <c r="L17" s="6"/>
      <c r="M17" s="6"/>
      <c r="N17" s="6"/>
      <c r="O17" s="6"/>
      <c r="P17" s="6"/>
    </row>
    <row r="18" s="7" customFormat="1">
      <c r="B18" s="14">
        <v>9</v>
      </c>
      <c r="C18" s="23" t="s">
        <v>809</v>
      </c>
      <c r="D18" s="24">
        <v>0.1806</v>
      </c>
      <c r="E18" s="15">
        <v>287142851</v>
      </c>
      <c r="F18" s="15">
        <v>257999995</v>
      </c>
      <c r="G18" s="14" t="s">
        <v>20</v>
      </c>
      <c r="H18" s="16">
        <v>0.00034061410317331</v>
      </c>
      <c r="I18" s="16">
        <v>0.00034490471361025296</v>
      </c>
      <c r="J18" s="14" t="s">
        <v>24</v>
      </c>
    </row>
    <row r="19">
      <c r="B19" s="14">
        <v>10</v>
      </c>
      <c r="C19" s="23" t="s">
        <v>810</v>
      </c>
      <c r="D19" s="24">
        <v>0.1927</v>
      </c>
      <c r="E19" s="15">
        <v>1481538463</v>
      </c>
      <c r="F19" s="15">
        <v>1482307694</v>
      </c>
      <c r="G19" s="14" t="s">
        <v>19</v>
      </c>
      <c r="H19" s="16">
        <v>0.00257287463556305</v>
      </c>
      <c r="I19" s="16">
        <v>0.0029010744344999803</v>
      </c>
      <c r="J19" s="14" t="s">
        <v>19</v>
      </c>
      <c r="K19" s="7"/>
      <c r="L19" s="7"/>
      <c r="M19" s="7"/>
      <c r="N19" s="7"/>
      <c r="O19" s="7"/>
      <c r="P19" s="7"/>
    </row>
    <row r="20">
      <c r="B20" s="14">
        <v>11</v>
      </c>
      <c r="C20" s="23" t="s">
        <v>811</v>
      </c>
      <c r="D20" s="24">
        <v>0.079</v>
      </c>
      <c r="E20" s="15">
        <v>159599750</v>
      </c>
      <c r="F20" s="15">
        <v>159599750</v>
      </c>
      <c r="G20" s="14" t="s">
        <v>24</v>
      </c>
      <c r="H20" s="16">
        <v>0.00725474789313011</v>
      </c>
      <c r="I20" s="16">
        <v>0.00817592952960312</v>
      </c>
      <c r="J20" s="14" t="s">
        <v>19</v>
      </c>
    </row>
    <row r="21">
      <c r="B21" s="14">
        <v>12</v>
      </c>
      <c r="C21" s="23" t="s">
        <v>812</v>
      </c>
      <c r="D21" s="24">
        <v>0.2676</v>
      </c>
      <c r="E21" s="15">
        <v>532899974</v>
      </c>
      <c r="F21" s="15">
        <v>543667682</v>
      </c>
      <c r="G21" s="14" t="s">
        <v>19</v>
      </c>
      <c r="H21" s="16">
        <v>0.00093050374839153</v>
      </c>
      <c r="I21" s="16">
        <v>0.0010698447499766922</v>
      </c>
      <c r="J21" s="14" t="s">
        <v>19</v>
      </c>
    </row>
    <row r="22">
      <c r="B22" s="14">
        <v>13</v>
      </c>
      <c r="C22" s="23" t="s">
        <v>813</v>
      </c>
      <c r="D22" s="24">
        <v>0.2694</v>
      </c>
      <c r="E22" s="15">
        <v>16493002223</v>
      </c>
      <c r="F22" s="15">
        <v>16548286030</v>
      </c>
      <c r="G22" s="14" t="s">
        <v>19</v>
      </c>
      <c r="H22" s="16">
        <v>0.111125229558551</v>
      </c>
      <c r="I22" s="16">
        <v>0.12565529293679803</v>
      </c>
      <c r="J22" s="14" t="s">
        <v>19</v>
      </c>
    </row>
    <row r="23">
      <c r="B23" s="14">
        <v>14</v>
      </c>
      <c r="C23" s="23" t="s">
        <v>814</v>
      </c>
      <c r="D23" s="24">
        <v>0.8618</v>
      </c>
      <c r="E23" s="15">
        <v>1551240000</v>
      </c>
      <c r="F23" s="15">
        <v>1551240000</v>
      </c>
      <c r="G23" s="14" t="s">
        <v>24</v>
      </c>
      <c r="H23" s="16">
        <v>0.00073604370725783</v>
      </c>
      <c r="I23" s="16">
        <v>0.00082950387386258721</v>
      </c>
      <c r="J23" s="14" t="s">
        <v>19</v>
      </c>
    </row>
    <row r="24">
      <c r="B24" s="14">
        <v>15</v>
      </c>
      <c r="C24" s="23" t="s">
        <v>815</v>
      </c>
      <c r="D24" s="24">
        <v>0.4021</v>
      </c>
      <c r="E24" s="15">
        <v>603300000</v>
      </c>
      <c r="F24" s="15">
        <v>603150000</v>
      </c>
      <c r="G24" s="14" t="s">
        <v>20</v>
      </c>
      <c r="H24" s="16">
        <v>0.0019694564089953303</v>
      </c>
      <c r="I24" s="16">
        <v>0.0022189790098625034</v>
      </c>
      <c r="J24" s="14" t="s">
        <v>19</v>
      </c>
    </row>
    <row r="25">
      <c r="B25" s="14">
        <v>16</v>
      </c>
      <c r="C25" s="23" t="s">
        <v>816</v>
      </c>
      <c r="D25" s="24">
        <v>0.7693</v>
      </c>
      <c r="E25" s="15">
        <v>555456602154</v>
      </c>
      <c r="F25" s="15">
        <v>449538865964</v>
      </c>
      <c r="G25" s="14" t="s">
        <v>20</v>
      </c>
      <c r="H25" s="16">
        <v>0.274099397989402</v>
      </c>
      <c r="I25" s="16">
        <v>0.25</v>
      </c>
      <c r="J25" s="14" t="s">
        <v>20</v>
      </c>
    </row>
    <row r="26">
      <c r="B26" s="14">
        <v>17</v>
      </c>
      <c r="C26" s="23" t="s">
        <v>817</v>
      </c>
      <c r="D26" s="24">
        <v>0.4756</v>
      </c>
      <c r="E26" s="15">
        <v>725137808</v>
      </c>
      <c r="F26" s="15">
        <v>725137808</v>
      </c>
      <c r="G26" s="14" t="s">
        <v>24</v>
      </c>
      <c r="H26" s="16">
        <v>0.00035095006761210005</v>
      </c>
      <c r="I26" s="16">
        <v>0.00039551243729959876</v>
      </c>
      <c r="J26" s="14" t="s">
        <v>24</v>
      </c>
    </row>
    <row r="27">
      <c r="B27" s="14">
        <v>18</v>
      </c>
      <c r="C27" s="23" t="s">
        <v>818</v>
      </c>
      <c r="D27" s="24">
        <v>0.3195</v>
      </c>
      <c r="E27" s="15">
        <v>1690250232</v>
      </c>
      <c r="F27" s="15">
        <v>1690250232</v>
      </c>
      <c r="G27" s="14" t="s">
        <v>24</v>
      </c>
      <c r="H27" s="16">
        <v>0.00091428262134057</v>
      </c>
      <c r="I27" s="16">
        <v>0.0010303749205534257</v>
      </c>
      <c r="J27" s="14" t="s">
        <v>19</v>
      </c>
    </row>
    <row r="28">
      <c r="B28" s="14">
        <v>19</v>
      </c>
      <c r="C28" s="23" t="s">
        <v>819</v>
      </c>
      <c r="D28" s="24">
        <v>0.3656</v>
      </c>
      <c r="E28" s="15">
        <v>2179417667</v>
      </c>
      <c r="F28" s="15">
        <v>2264909321</v>
      </c>
      <c r="G28" s="14" t="s">
        <v>19</v>
      </c>
      <c r="H28" s="16">
        <v>0.00852103380036798</v>
      </c>
      <c r="I28" s="16">
        <v>0.0099796992724022</v>
      </c>
      <c r="J28" s="14" t="s">
        <v>19</v>
      </c>
    </row>
    <row r="29">
      <c r="B29" s="14">
        <v>20</v>
      </c>
      <c r="C29" s="23" t="s">
        <v>820</v>
      </c>
      <c r="D29" s="24">
        <v>0.2</v>
      </c>
      <c r="E29" s="15">
        <v>652504021</v>
      </c>
      <c r="F29" s="15">
        <v>652504021</v>
      </c>
      <c r="G29" s="14" t="s">
        <v>24</v>
      </c>
      <c r="H29" s="16">
        <v>0.00063159396120501007</v>
      </c>
      <c r="I29" s="16">
        <v>0.00071179147722111617</v>
      </c>
      <c r="J29" s="14" t="s">
        <v>19</v>
      </c>
    </row>
    <row r="30">
      <c r="B30" s="14">
        <v>21</v>
      </c>
      <c r="C30" s="23" t="s">
        <v>821</v>
      </c>
      <c r="D30" s="24">
        <v>0.5969</v>
      </c>
      <c r="E30" s="15">
        <v>642182601</v>
      </c>
      <c r="F30" s="15">
        <v>642182601</v>
      </c>
      <c r="G30" s="14" t="s">
        <v>24</v>
      </c>
      <c r="H30" s="16">
        <v>0.00057285010009273008</v>
      </c>
      <c r="I30" s="16">
        <v>0.00064558853279185675</v>
      </c>
      <c r="J30" s="14" t="s">
        <v>24</v>
      </c>
    </row>
    <row r="31">
      <c r="B31" s="14">
        <v>22</v>
      </c>
      <c r="C31" s="23" t="s">
        <v>822</v>
      </c>
      <c r="D31" s="24">
        <v>0.5269</v>
      </c>
      <c r="E31" s="15">
        <v>9577655273</v>
      </c>
      <c r="F31" s="15">
        <v>9594042896</v>
      </c>
      <c r="G31" s="14" t="s">
        <v>19</v>
      </c>
      <c r="H31" s="16">
        <v>0.00145423230839358</v>
      </c>
      <c r="I31" s="16">
        <v>0.00164168964141795</v>
      </c>
      <c r="J31" s="14" t="s">
        <v>19</v>
      </c>
    </row>
    <row r="32">
      <c r="B32" s="14">
        <v>23</v>
      </c>
      <c r="C32" s="23" t="s">
        <v>823</v>
      </c>
      <c r="D32" s="24">
        <v>0.7878</v>
      </c>
      <c r="E32" s="15">
        <v>620669431</v>
      </c>
      <c r="F32" s="15">
        <v>620669431</v>
      </c>
      <c r="G32" s="14" t="s">
        <v>24</v>
      </c>
      <c r="H32" s="16">
        <v>0.00029449977371318997</v>
      </c>
      <c r="I32" s="16">
        <v>0.00033189428955560823</v>
      </c>
      <c r="J32" s="14" t="s">
        <v>24</v>
      </c>
    </row>
    <row r="33">
      <c r="B33" s="14">
        <v>24</v>
      </c>
      <c r="C33" s="23" t="s">
        <v>824</v>
      </c>
      <c r="D33" s="24">
        <v>0.2662</v>
      </c>
      <c r="E33" s="15">
        <v>183947657</v>
      </c>
      <c r="F33" s="15">
        <v>190532554</v>
      </c>
      <c r="G33" s="14" t="s">
        <v>19</v>
      </c>
      <c r="H33" s="16">
        <v>0.00017281604425579</v>
      </c>
      <c r="I33" s="16">
        <v>0.00020173153975077535</v>
      </c>
      <c r="J33" s="14" t="s">
        <v>24</v>
      </c>
    </row>
    <row r="34">
      <c r="B34" s="14">
        <v>25</v>
      </c>
      <c r="C34" s="23" t="s">
        <v>825</v>
      </c>
      <c r="D34" s="24">
        <v>0.3747</v>
      </c>
      <c r="E34" s="15">
        <v>326950474</v>
      </c>
      <c r="F34" s="15">
        <v>325214608</v>
      </c>
      <c r="G34" s="14" t="s">
        <v>20</v>
      </c>
      <c r="H34" s="16">
        <v>0.00133415114048434</v>
      </c>
      <c r="I34" s="16">
        <v>0.0014955740441129125</v>
      </c>
      <c r="J34" s="14" t="s">
        <v>19</v>
      </c>
    </row>
    <row r="35">
      <c r="B35" s="14">
        <v>26</v>
      </c>
      <c r="C35" s="23" t="s">
        <v>826</v>
      </c>
      <c r="D35" s="24">
        <v>0.0909</v>
      </c>
      <c r="E35" s="15">
        <v>180562500</v>
      </c>
      <c r="F35" s="15">
        <v>170437500</v>
      </c>
      <c r="G35" s="14" t="s">
        <v>20</v>
      </c>
      <c r="H35" s="16">
        <v>0.027073178771686298</v>
      </c>
      <c r="I35" s="16">
        <v>0.0287999452144476</v>
      </c>
      <c r="J35" s="14" t="s">
        <v>19</v>
      </c>
    </row>
    <row r="36">
      <c r="B36" s="14">
        <v>27</v>
      </c>
      <c r="C36" s="23" t="s">
        <v>827</v>
      </c>
      <c r="D36" s="24">
        <v>0.312</v>
      </c>
      <c r="E36" s="15">
        <v>487520513</v>
      </c>
      <c r="F36" s="15">
        <v>487523184</v>
      </c>
      <c r="G36" s="14" t="s">
        <v>19</v>
      </c>
      <c r="H36" s="16">
        <v>0.00037474212714954996</v>
      </c>
      <c r="I36" s="16">
        <v>0.00042232784036308859</v>
      </c>
      <c r="J36" s="14" t="s">
        <v>24</v>
      </c>
    </row>
    <row r="37">
      <c r="B37" s="14">
        <v>28</v>
      </c>
      <c r="C37" s="23" t="s">
        <v>828</v>
      </c>
      <c r="D37" s="24">
        <v>0.1418</v>
      </c>
      <c r="E37" s="15">
        <v>452389874</v>
      </c>
      <c r="F37" s="15">
        <v>445169217</v>
      </c>
      <c r="G37" s="14" t="s">
        <v>20</v>
      </c>
      <c r="H37" s="16">
        <v>0.00562391536035909</v>
      </c>
      <c r="I37" s="16">
        <v>0.0062368577796828341</v>
      </c>
      <c r="J37" s="14" t="s">
        <v>19</v>
      </c>
    </row>
    <row r="38">
      <c r="B38" s="14">
        <v>29</v>
      </c>
      <c r="C38" s="23" t="s">
        <v>829</v>
      </c>
      <c r="D38" s="24">
        <v>0.3996</v>
      </c>
      <c r="E38" s="15">
        <v>4288315786</v>
      </c>
      <c r="F38" s="15">
        <v>4905843080</v>
      </c>
      <c r="G38" s="14" t="s">
        <v>19</v>
      </c>
      <c r="H38" s="16">
        <v>0.022178790873311</v>
      </c>
      <c r="I38" s="16">
        <v>0.028594306910085056</v>
      </c>
      <c r="J38" s="14" t="s">
        <v>19</v>
      </c>
    </row>
    <row r="39">
      <c r="B39" s="14">
        <v>30</v>
      </c>
      <c r="C39" s="23" t="s">
        <v>830</v>
      </c>
      <c r="D39" s="24">
        <v>0.2537</v>
      </c>
      <c r="E39" s="15">
        <v>177266888</v>
      </c>
      <c r="F39" s="15">
        <v>169133545</v>
      </c>
      <c r="G39" s="14" t="s">
        <v>20</v>
      </c>
      <c r="H39" s="16">
        <v>0.00301116987155394</v>
      </c>
      <c r="I39" s="16">
        <v>0.0032378162724107538</v>
      </c>
      <c r="J39" s="14" t="s">
        <v>19</v>
      </c>
    </row>
    <row r="40">
      <c r="B40" s="14">
        <v>31</v>
      </c>
      <c r="C40" s="23" t="s">
        <v>831</v>
      </c>
      <c r="D40" s="24">
        <v>0.1</v>
      </c>
      <c r="E40" s="15">
        <v>531434400</v>
      </c>
      <c r="F40" s="15">
        <v>531434400</v>
      </c>
      <c r="G40" s="14" t="s">
        <v>24</v>
      </c>
      <c r="H40" s="16">
        <v>0.0016945076949531298</v>
      </c>
      <c r="I40" s="16">
        <v>0.0019096701505542681</v>
      </c>
      <c r="J40" s="14" t="s">
        <v>19</v>
      </c>
    </row>
    <row r="41">
      <c r="B41" s="14">
        <v>32</v>
      </c>
      <c r="C41" s="23" t="s">
        <v>832</v>
      </c>
      <c r="D41" s="24">
        <v>0.3151</v>
      </c>
      <c r="E41" s="15">
        <v>184333500</v>
      </c>
      <c r="F41" s="15">
        <v>184333500</v>
      </c>
      <c r="G41" s="14" t="s">
        <v>24</v>
      </c>
      <c r="H41" s="16">
        <v>8.9213186203329991E-05</v>
      </c>
      <c r="I41" s="16">
        <v>0.00010054115377330537</v>
      </c>
      <c r="J41" s="14" t="s">
        <v>24</v>
      </c>
    </row>
    <row r="42">
      <c r="B42" s="14">
        <v>33</v>
      </c>
      <c r="C42" s="23" t="s">
        <v>833</v>
      </c>
      <c r="D42" s="24">
        <v>0.2435</v>
      </c>
      <c r="E42" s="15">
        <v>275380960</v>
      </c>
      <c r="F42" s="15">
        <v>305909050</v>
      </c>
      <c r="G42" s="14" t="s">
        <v>19</v>
      </c>
      <c r="H42" s="16">
        <v>0.00013066477315349</v>
      </c>
      <c r="I42" s="16">
        <v>0.00016358058200189777</v>
      </c>
      <c r="J42" s="14" t="s">
        <v>19</v>
      </c>
    </row>
    <row r="43">
      <c r="B43" s="14">
        <v>34</v>
      </c>
      <c r="C43" s="23" t="s">
        <v>834</v>
      </c>
      <c r="D43" s="24">
        <v>0.1285</v>
      </c>
      <c r="E43" s="15">
        <v>346666632</v>
      </c>
      <c r="F43" s="15">
        <v>214166645</v>
      </c>
      <c r="G43" s="14" t="s">
        <v>20</v>
      </c>
      <c r="H43" s="16">
        <v>0.00066453523872480008</v>
      </c>
      <c r="I43" s="16">
        <v>0.00046267136614811313</v>
      </c>
      <c r="J43" s="14" t="s">
        <v>20</v>
      </c>
    </row>
    <row r="44">
      <c r="B44" s="14">
        <v>35</v>
      </c>
      <c r="C44" s="23" t="s">
        <v>835</v>
      </c>
      <c r="D44" s="24">
        <v>0.2778</v>
      </c>
      <c r="E44" s="15">
        <v>1047441386</v>
      </c>
      <c r="F44" s="15">
        <v>1215452034</v>
      </c>
      <c r="G44" s="14" t="s">
        <v>19</v>
      </c>
      <c r="H44" s="16">
        <v>0.00057651727871161</v>
      </c>
      <c r="I44" s="16">
        <v>0.00075393731334350163</v>
      </c>
      <c r="J44" s="14" t="s">
        <v>19</v>
      </c>
    </row>
    <row r="45">
      <c r="B45" s="14">
        <v>36</v>
      </c>
      <c r="C45" s="23" t="s">
        <v>836</v>
      </c>
      <c r="D45" s="24">
        <v>0.3999</v>
      </c>
      <c r="E45" s="15">
        <v>1182007043</v>
      </c>
      <c r="F45" s="15">
        <v>1180236246</v>
      </c>
      <c r="G45" s="14" t="s">
        <v>20</v>
      </c>
      <c r="H45" s="16">
        <v>0.00121143027978824</v>
      </c>
      <c r="I45" s="16">
        <v>0.0013632079903801492</v>
      </c>
      <c r="J45" s="14" t="s">
        <v>19</v>
      </c>
    </row>
    <row r="46">
      <c r="B46" s="14">
        <v>37</v>
      </c>
      <c r="C46" s="23" t="s">
        <v>837</v>
      </c>
      <c r="D46" s="24">
        <v>0.4038</v>
      </c>
      <c r="E46" s="15">
        <v>758054894</v>
      </c>
      <c r="F46" s="15">
        <v>807658486</v>
      </c>
      <c r="G46" s="14" t="s">
        <v>19</v>
      </c>
      <c r="H46" s="16">
        <v>0.00079131235390162</v>
      </c>
      <c r="I46" s="16">
        <v>0.00095014495088480882</v>
      </c>
      <c r="J46" s="14" t="s">
        <v>19</v>
      </c>
    </row>
    <row r="47">
      <c r="B47" s="14">
        <v>38</v>
      </c>
      <c r="C47" s="23" t="s">
        <v>838</v>
      </c>
      <c r="D47" s="24">
        <v>0.4002</v>
      </c>
      <c r="E47" s="15">
        <v>2124481316</v>
      </c>
      <c r="F47" s="15">
        <v>2124481316</v>
      </c>
      <c r="G47" s="14" t="s">
        <v>24</v>
      </c>
      <c r="H47" s="16">
        <v>0.0402207737311845</v>
      </c>
      <c r="I47" s="16">
        <v>0.045327862038208322</v>
      </c>
      <c r="J47" s="14" t="s">
        <v>19</v>
      </c>
    </row>
    <row r="48">
      <c r="B48" s="14">
        <v>39</v>
      </c>
      <c r="C48" s="23" t="s">
        <v>839</v>
      </c>
      <c r="D48" s="24">
        <v>0.9389</v>
      </c>
      <c r="E48" s="15">
        <v>11209172566</v>
      </c>
      <c r="F48" s="15">
        <v>11209172566</v>
      </c>
      <c r="G48" s="14" t="s">
        <v>24</v>
      </c>
      <c r="H48" s="16">
        <v>0.0076587987289593292</v>
      </c>
      <c r="I48" s="16">
        <v>0.0086312852783146446</v>
      </c>
      <c r="J48" s="14" t="s">
        <v>19</v>
      </c>
    </row>
    <row r="49">
      <c r="B49" s="14">
        <v>40</v>
      </c>
      <c r="C49" s="23" t="s">
        <v>840</v>
      </c>
      <c r="D49" s="24">
        <v>0.2011</v>
      </c>
      <c r="E49" s="15">
        <v>269200247</v>
      </c>
      <c r="F49" s="15">
        <v>268133579</v>
      </c>
      <c r="G49" s="14" t="s">
        <v>20</v>
      </c>
      <c r="H49" s="16">
        <v>0.0003653138152048</v>
      </c>
      <c r="I49" s="16">
        <v>0.00041006873857841238</v>
      </c>
      <c r="J49" s="14" t="s">
        <v>24</v>
      </c>
    </row>
    <row r="50" ht="14.5" customHeight="1">
      <c r="B50" s="30" t="s">
        <v>112</v>
      </c>
      <c r="C50" s="30"/>
      <c r="D50" s="30"/>
      <c r="E50" s="30"/>
      <c r="F50" s="30"/>
      <c r="G50" s="30"/>
      <c r="H50" s="30"/>
      <c r="I50" s="30"/>
      <c r="J50" s="30"/>
    </row>
    <row r="51">
      <c r="B51" s="31"/>
      <c r="C51" s="31"/>
      <c r="D51" s="31"/>
      <c r="E51" s="31"/>
      <c r="F51" s="31"/>
      <c r="G51" s="31"/>
      <c r="H51" s="31"/>
      <c r="I51" s="31"/>
      <c r="J51" s="31"/>
    </row>
    <row r="53">
      <c r="D53" s="26"/>
      <c r="E53" s="26"/>
    </row>
  </sheetData>
  <mergeCells>
    <mergeCell ref="B50:J51"/>
    <mergeCell ref="B2:H2"/>
    <mergeCell ref="B8:B9"/>
    <mergeCell ref="C8:C9"/>
    <mergeCell ref="D8:D9"/>
    <mergeCell ref="E8:G8"/>
    <mergeCell ref="H8:J8"/>
  </mergeCells>
  <conditionalFormatting sqref="B50">
    <cfRule type="expression" dxfId="0" priority="1">
      <formula>$H50="Baru"</formula>
    </cfRule>
  </conditionalFormatting>
  <conditionalFormatting sqref="B10:J49">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A889-12CA-4EAF-BDDC-54FF2205C40E}">
  <dimension ref="A2:J80"/>
  <sheetViews>
    <sheetView topLeftCell="A8" zoomScaleNormal="100" workbookViewId="0">
      <selection activeCell="B10" sqref="B10:J76"/>
    </sheetView>
  </sheetViews>
  <sheetFormatPr defaultColWidth="8.81640625" defaultRowHeight="14.5" x14ac:dyDescent="0.35"/>
  <cols>
    <col min="1" max="1" width="5.1796875" customWidth="1" style="6"/>
    <col min="2" max="2" width="5.1796875" customWidth="1" style="3"/>
    <col min="3" max="4" width="10.453125" customWidth="1" style="3"/>
    <col min="5" max="6" width="18.453125" customWidth="1" style="3"/>
    <col min="7" max="8" width="10.453125" customWidth="1" style="3"/>
    <col min="9" max="10" width="10.453125" customWidth="1" style="6"/>
    <col min="11" max="16384" width="8.81640625" customWidth="1" style="6"/>
  </cols>
  <sheetData>
    <row r="2">
      <c r="B2" s="32" t="str">
        <f>LEFT('A ENERGY'!B2,9) &amp; (VALUE(MID('A ENERGY'!B2,10,1))+9) &amp; _xlfn.TEXTAFTER('A ENERGY'!B2,"Lampiran 5")</f>
        <v>Lampiran 14 Pengumuman BEI No. Peng-00044/BEI.POP/03-2026 tanggal 25 Maret 2026</v>
      </c>
      <c r="C2" s="32"/>
      <c r="D2" s="32"/>
      <c r="E2" s="32"/>
      <c r="F2" s="32"/>
      <c r="G2" s="32"/>
      <c r="H2" s="32"/>
    </row>
    <row r="3">
      <c r="B3" s="5" t="s">
        <v>1</v>
      </c>
      <c r="F3" s="22"/>
      <c r="G3" s="22" t="s">
        <v>841</v>
      </c>
      <c r="H3" s="22"/>
      <c r="I3" s="22"/>
    </row>
    <row r="4">
      <c r="B4" s="5" t="s">
        <v>3</v>
      </c>
      <c r="F4" s="22"/>
      <c r="G4" s="22" t="str">
        <f>'A ENERGY'!G4</f>
        <v>:  Minor</v>
      </c>
      <c r="H4" s="22"/>
      <c r="I4" s="22"/>
    </row>
    <row r="5">
      <c r="B5" s="5" t="s">
        <v>5</v>
      </c>
      <c r="F5" s="22"/>
      <c r="G5" s="22" t="str">
        <f>'A ENERGY'!G5</f>
        <v>:  1 April s.d. 30 Juni 2026</v>
      </c>
      <c r="H5" s="22"/>
      <c r="I5" s="22"/>
    </row>
    <row r="6">
      <c r="B6" s="5" t="s">
        <v>7</v>
      </c>
      <c r="F6" s="22"/>
      <c r="G6" s="22" t="str">
        <f>'A ENERGY'!G6</f>
        <v>:  1 April s.d. 30 Juni 2026</v>
      </c>
      <c r="H6" s="22"/>
      <c r="I6" s="22"/>
    </row>
    <row r="8" ht="15" customHeight="1">
      <c r="B8" s="33" t="s">
        <v>8</v>
      </c>
      <c r="C8" s="33" t="s">
        <v>9</v>
      </c>
      <c r="D8" s="34" t="s">
        <v>10</v>
      </c>
      <c r="E8" s="36" t="s">
        <v>11</v>
      </c>
      <c r="F8" s="37"/>
      <c r="G8" s="37"/>
      <c r="H8" s="33" t="s">
        <v>12</v>
      </c>
      <c r="I8" s="33"/>
      <c r="J8" s="33"/>
    </row>
    <row r="9" ht="55" customHeight="1">
      <c r="B9" s="33"/>
      <c r="C9" s="33"/>
      <c r="D9" s="35"/>
      <c r="E9" s="13" t="s">
        <v>13</v>
      </c>
      <c r="F9" s="13" t="s">
        <v>14</v>
      </c>
      <c r="G9" s="25" t="s">
        <v>15</v>
      </c>
      <c r="H9" s="13" t="s">
        <v>16</v>
      </c>
      <c r="I9" s="13" t="s">
        <v>17</v>
      </c>
      <c r="J9" s="25" t="s">
        <v>15</v>
      </c>
    </row>
    <row r="10">
      <c r="B10" s="14">
        <v>1</v>
      </c>
      <c r="C10" s="23" t="s">
        <v>842</v>
      </c>
      <c r="D10" s="24">
        <v>0.0883</v>
      </c>
      <c r="E10" s="15">
        <v>1560716628</v>
      </c>
      <c r="F10" s="15">
        <v>1560716628</v>
      </c>
      <c r="G10" s="14" t="s">
        <v>24</v>
      </c>
      <c r="H10" s="16">
        <v>0.00157326586398677</v>
      </c>
      <c r="I10" s="16">
        <v>0.0013556858920342548</v>
      </c>
      <c r="J10" s="14" t="s">
        <v>20</v>
      </c>
    </row>
    <row r="11">
      <c r="B11" s="14">
        <v>2</v>
      </c>
      <c r="C11" s="23" t="s">
        <v>843</v>
      </c>
      <c r="D11" s="24">
        <v>0.3563</v>
      </c>
      <c r="E11" s="15">
        <v>2993949557</v>
      </c>
      <c r="F11" s="15">
        <v>2995631079</v>
      </c>
      <c r="G11" s="14" t="s">
        <v>19</v>
      </c>
      <c r="H11" s="16">
        <v>0.00575132679623538</v>
      </c>
      <c r="I11" s="16">
        <v>0.004958711607903476</v>
      </c>
      <c r="J11" s="14" t="s">
        <v>20</v>
      </c>
    </row>
    <row r="12">
      <c r="B12" s="14">
        <v>3</v>
      </c>
      <c r="C12" s="23" t="s">
        <v>844</v>
      </c>
      <c r="D12" s="24">
        <v>0.3369</v>
      </c>
      <c r="E12" s="15">
        <v>525079154</v>
      </c>
      <c r="F12" s="15">
        <v>986609966</v>
      </c>
      <c r="G12" s="14" t="s">
        <v>19</v>
      </c>
      <c r="H12" s="16">
        <v>0.032207475748092296</v>
      </c>
      <c r="I12" s="16">
        <v>0.05214760489873789</v>
      </c>
      <c r="J12" s="14" t="s">
        <v>19</v>
      </c>
    </row>
    <row r="13">
      <c r="B13" s="14">
        <v>4</v>
      </c>
      <c r="C13" s="23" t="s">
        <v>845</v>
      </c>
      <c r="D13" s="24">
        <v>0.3256</v>
      </c>
      <c r="E13" s="15">
        <v>1580000000</v>
      </c>
      <c r="F13" s="15">
        <v>2035000000</v>
      </c>
      <c r="G13" s="14" t="s">
        <v>19</v>
      </c>
      <c r="H13" s="16">
        <v>0.0040568882796622</v>
      </c>
      <c r="I13" s="16">
        <v>0.00450253742787061</v>
      </c>
      <c r="J13" s="14" t="s">
        <v>19</v>
      </c>
    </row>
    <row r="14">
      <c r="B14" s="14">
        <v>5</v>
      </c>
      <c r="C14" s="23" t="s">
        <v>846</v>
      </c>
      <c r="D14" s="24">
        <v>0.2906</v>
      </c>
      <c r="E14" s="15">
        <v>1143392581</v>
      </c>
      <c r="F14" s="15">
        <v>1143392581</v>
      </c>
      <c r="G14" s="14" t="s">
        <v>24</v>
      </c>
      <c r="H14" s="16">
        <v>0.0132112479899382</v>
      </c>
      <c r="I14" s="16">
        <v>0.01138415503588631</v>
      </c>
      <c r="J14" s="14" t="s">
        <v>20</v>
      </c>
    </row>
    <row r="15">
      <c r="B15" s="14">
        <v>6</v>
      </c>
      <c r="C15" s="23" t="s">
        <v>847</v>
      </c>
      <c r="D15" s="24">
        <v>0.2893</v>
      </c>
      <c r="E15" s="15">
        <v>1366971870</v>
      </c>
      <c r="F15" s="15">
        <v>1366971870</v>
      </c>
      <c r="G15" s="14" t="s">
        <v>24</v>
      </c>
      <c r="H15" s="16">
        <v>0.0018719500955378602</v>
      </c>
      <c r="I15" s="16">
        <v>0.001613062606765019</v>
      </c>
      <c r="J15" s="14" t="s">
        <v>20</v>
      </c>
    </row>
    <row r="16">
      <c r="B16" s="14">
        <v>7</v>
      </c>
      <c r="C16" s="23" t="s">
        <v>848</v>
      </c>
      <c r="D16" s="24">
        <v>0.123</v>
      </c>
      <c r="E16" s="15">
        <v>1378865990</v>
      </c>
      <c r="F16" s="15">
        <v>1838126710</v>
      </c>
      <c r="G16" s="14" t="s">
        <v>19</v>
      </c>
      <c r="H16" s="16">
        <v>0.0783487670241058</v>
      </c>
      <c r="I16" s="16">
        <v>0.09</v>
      </c>
      <c r="J16" s="14" t="s">
        <v>19</v>
      </c>
    </row>
    <row r="17">
      <c r="B17" s="14">
        <v>8</v>
      </c>
      <c r="C17" s="23" t="s">
        <v>849</v>
      </c>
      <c r="D17" s="24">
        <v>0.5076</v>
      </c>
      <c r="E17" s="15">
        <v>18691185137</v>
      </c>
      <c r="F17" s="15">
        <v>18691185137</v>
      </c>
      <c r="G17" s="14" t="s">
        <v>24</v>
      </c>
      <c r="H17" s="16">
        <v>0.00888748826949035</v>
      </c>
      <c r="I17" s="16">
        <v>0.0076583638776661182</v>
      </c>
      <c r="J17" s="14" t="s">
        <v>20</v>
      </c>
    </row>
    <row r="18" s="7" customFormat="1">
      <c r="B18" s="14">
        <v>9</v>
      </c>
      <c r="C18" s="23" t="s">
        <v>850</v>
      </c>
      <c r="D18" s="24">
        <v>0.1116</v>
      </c>
      <c r="E18" s="15">
        <v>296258714</v>
      </c>
      <c r="F18" s="15">
        <v>294674443</v>
      </c>
      <c r="G18" s="14" t="s">
        <v>20</v>
      </c>
      <c r="H18" s="16">
        <v>0.00408518127433867</v>
      </c>
      <c r="I18" s="16">
        <v>0.0035013830718721478</v>
      </c>
      <c r="J18" s="14" t="s">
        <v>20</v>
      </c>
    </row>
    <row r="19" s="7" customFormat="1">
      <c r="B19" s="14">
        <v>10</v>
      </c>
      <c r="C19" s="23" t="s">
        <v>851</v>
      </c>
      <c r="D19" s="24">
        <v>0.117</v>
      </c>
      <c r="E19" s="15">
        <v>244173150</v>
      </c>
      <c r="F19" s="15">
        <v>244173150</v>
      </c>
      <c r="G19" s="14" t="s">
        <v>24</v>
      </c>
      <c r="H19" s="16">
        <v>0.00437704949363674</v>
      </c>
      <c r="I19" s="16">
        <v>0.0037717110522070829</v>
      </c>
      <c r="J19" s="14" t="s">
        <v>20</v>
      </c>
    </row>
    <row r="20">
      <c r="B20" s="14">
        <v>11</v>
      </c>
      <c r="C20" s="23" t="s">
        <v>852</v>
      </c>
      <c r="D20" s="24">
        <v>0.0997</v>
      </c>
      <c r="E20" s="15">
        <v>7279488048</v>
      </c>
      <c r="F20" s="15">
        <v>12445488658</v>
      </c>
      <c r="G20" s="14" t="s">
        <v>19</v>
      </c>
      <c r="H20" s="16">
        <v>0.0543428850186117</v>
      </c>
      <c r="I20" s="16">
        <v>0.080059111136257036</v>
      </c>
      <c r="J20" s="14" t="s">
        <v>19</v>
      </c>
    </row>
    <row r="21">
      <c r="B21" s="14">
        <v>12</v>
      </c>
      <c r="C21" s="23" t="s">
        <v>853</v>
      </c>
      <c r="D21" s="24">
        <v>0.0774</v>
      </c>
      <c r="E21" s="15">
        <v>2413600183</v>
      </c>
      <c r="F21" s="15">
        <v>2413600183</v>
      </c>
      <c r="G21" s="14" t="s">
        <v>24</v>
      </c>
      <c r="H21" s="16">
        <v>0.00220347820966599</v>
      </c>
      <c r="I21" s="16">
        <v>0.0018987409508784735</v>
      </c>
      <c r="J21" s="14" t="s">
        <v>20</v>
      </c>
    </row>
    <row r="22">
      <c r="B22" s="14">
        <v>13</v>
      </c>
      <c r="C22" s="23" t="s">
        <v>854</v>
      </c>
      <c r="D22" s="24">
        <v>0.1678</v>
      </c>
      <c r="E22" s="15">
        <v>1005792430</v>
      </c>
      <c r="F22" s="15">
        <v>1123648267</v>
      </c>
      <c r="G22" s="14" t="s">
        <v>19</v>
      </c>
      <c r="H22" s="16">
        <v>0.013534337417420399</v>
      </c>
      <c r="I22" s="16">
        <v>0.013029146880623149</v>
      </c>
      <c r="J22" s="14" t="s">
        <v>20</v>
      </c>
    </row>
    <row r="23">
      <c r="B23" s="14">
        <v>14</v>
      </c>
      <c r="C23" s="23" t="s">
        <v>855</v>
      </c>
      <c r="D23" s="24">
        <v>0.1445</v>
      </c>
      <c r="E23" s="15">
        <v>198825000</v>
      </c>
      <c r="F23" s="15">
        <v>198687500</v>
      </c>
      <c r="G23" s="14" t="s">
        <v>20</v>
      </c>
      <c r="H23" s="16">
        <v>0.00650431597276418</v>
      </c>
      <c r="I23" s="16">
        <v>0.0056009041657805875</v>
      </c>
      <c r="J23" s="14" t="s">
        <v>20</v>
      </c>
    </row>
    <row r="24">
      <c r="B24" s="14">
        <v>15</v>
      </c>
      <c r="C24" s="23" t="s">
        <v>856</v>
      </c>
      <c r="D24" s="24">
        <v>0.2023</v>
      </c>
      <c r="E24" s="15">
        <v>1125964728</v>
      </c>
      <c r="F24" s="15">
        <v>1120977680</v>
      </c>
      <c r="G24" s="14" t="s">
        <v>20</v>
      </c>
      <c r="H24" s="16">
        <v>0.00122068001488592</v>
      </c>
      <c r="I24" s="16">
        <v>0.0010472032235584994</v>
      </c>
      <c r="J24" s="14" t="s">
        <v>20</v>
      </c>
    </row>
    <row r="25">
      <c r="B25" s="14">
        <v>16</v>
      </c>
      <c r="C25" s="23" t="s">
        <v>857</v>
      </c>
      <c r="D25" s="24">
        <v>0.2306</v>
      </c>
      <c r="E25" s="15">
        <v>3531242170</v>
      </c>
      <c r="F25" s="15">
        <v>4196888281</v>
      </c>
      <c r="G25" s="14" t="s">
        <v>19</v>
      </c>
      <c r="H25" s="16">
        <v>0.0859685624206097</v>
      </c>
      <c r="I25" s="16">
        <v>0.088043343726899564</v>
      </c>
      <c r="J25" s="14" t="s">
        <v>19</v>
      </c>
    </row>
    <row r="26">
      <c r="B26" s="14">
        <v>17</v>
      </c>
      <c r="C26" s="23" t="s">
        <v>858</v>
      </c>
      <c r="D26" s="24">
        <v>0.1327</v>
      </c>
      <c r="E26" s="15">
        <v>72985000</v>
      </c>
      <c r="F26" s="15">
        <v>72985000</v>
      </c>
      <c r="G26" s="14" t="s">
        <v>24</v>
      </c>
      <c r="H26" s="16">
        <v>0.0012354518146794199</v>
      </c>
      <c r="I26" s="16">
        <v>0.0010645909466342396</v>
      </c>
      <c r="J26" s="14" t="s">
        <v>20</v>
      </c>
    </row>
    <row r="27">
      <c r="B27" s="14">
        <v>18</v>
      </c>
      <c r="C27" s="23" t="s">
        <v>859</v>
      </c>
      <c r="D27" s="24">
        <v>0.0652</v>
      </c>
      <c r="E27" s="15">
        <v>10094478319</v>
      </c>
      <c r="F27" s="15">
        <v>8139258850</v>
      </c>
      <c r="G27" s="14" t="s">
        <v>20</v>
      </c>
      <c r="H27" s="16">
        <v>0.0051838190862854806</v>
      </c>
      <c r="I27" s="16">
        <v>0.0036017019760970458</v>
      </c>
      <c r="J27" s="14" t="s">
        <v>20</v>
      </c>
    </row>
    <row r="28">
      <c r="B28" s="14">
        <v>19</v>
      </c>
      <c r="C28" s="23" t="s">
        <v>860</v>
      </c>
      <c r="D28" s="24">
        <v>0.1047</v>
      </c>
      <c r="E28" s="15">
        <v>133730797</v>
      </c>
      <c r="F28" s="15">
        <v>133730797</v>
      </c>
      <c r="G28" s="14" t="s">
        <v>24</v>
      </c>
      <c r="H28" s="16">
        <v>0.00034083047819602003</v>
      </c>
      <c r="I28" s="16">
        <v>0.0002936942077836547</v>
      </c>
      <c r="J28" s="14" t="s">
        <v>24</v>
      </c>
    </row>
    <row r="29">
      <c r="B29" s="14">
        <v>20</v>
      </c>
      <c r="C29" s="23" t="s">
        <v>861</v>
      </c>
      <c r="D29" s="24">
        <v>0.4717</v>
      </c>
      <c r="E29" s="15">
        <v>1000004000</v>
      </c>
      <c r="F29" s="15">
        <v>1000004000</v>
      </c>
      <c r="G29" s="14" t="s">
        <v>24</v>
      </c>
      <c r="H29" s="16">
        <v>0.00021872668463655001</v>
      </c>
      <c r="I29" s="16">
        <v>0.00018847715911268978</v>
      </c>
      <c r="J29" s="14" t="s">
        <v>24</v>
      </c>
    </row>
    <row r="30">
      <c r="B30" s="14">
        <v>21</v>
      </c>
      <c r="C30" s="23" t="s">
        <v>862</v>
      </c>
      <c r="D30" s="24">
        <v>0.1638</v>
      </c>
      <c r="E30" s="15">
        <v>1285700000</v>
      </c>
      <c r="F30" s="15">
        <v>1064700000</v>
      </c>
      <c r="G30" s="14" t="s">
        <v>20</v>
      </c>
      <c r="H30" s="16">
        <v>0.00172397495973699</v>
      </c>
      <c r="I30" s="16">
        <v>0.0012301994276512716</v>
      </c>
      <c r="J30" s="14" t="s">
        <v>20</v>
      </c>
    </row>
    <row r="31">
      <c r="B31" s="14">
        <v>22</v>
      </c>
      <c r="C31" s="23" t="s">
        <v>863</v>
      </c>
      <c r="D31" s="24">
        <v>0.0005</v>
      </c>
      <c r="E31" s="15">
        <v>675452</v>
      </c>
      <c r="F31" s="15">
        <v>675452</v>
      </c>
      <c r="G31" s="14" t="s">
        <v>24</v>
      </c>
      <c r="H31" s="16">
        <v>2.8841180326329997E-05</v>
      </c>
      <c r="I31" s="16">
        <v>2.4852511583358167E-05</v>
      </c>
      <c r="J31" s="14" t="s">
        <v>24</v>
      </c>
    </row>
    <row r="32">
      <c r="B32" s="14">
        <v>23</v>
      </c>
      <c r="C32" s="23" t="s">
        <v>864</v>
      </c>
      <c r="D32" s="24">
        <v>0.0926</v>
      </c>
      <c r="E32" s="15">
        <v>185678100</v>
      </c>
      <c r="F32" s="15">
        <v>185477800</v>
      </c>
      <c r="G32" s="14" t="s">
        <v>20</v>
      </c>
      <c r="H32" s="16">
        <v>0.00052619794113602</v>
      </c>
      <c r="I32" s="16">
        <v>0.00045293653560588151</v>
      </c>
      <c r="J32" s="14" t="s">
        <v>24</v>
      </c>
    </row>
    <row r="33">
      <c r="B33" s="14">
        <v>24</v>
      </c>
      <c r="C33" s="23" t="s">
        <v>865</v>
      </c>
      <c r="D33" s="24">
        <v>0.4062</v>
      </c>
      <c r="E33" s="15">
        <v>9797150701</v>
      </c>
      <c r="F33" s="15">
        <v>9088363924</v>
      </c>
      <c r="G33" s="14" t="s">
        <v>20</v>
      </c>
      <c r="H33" s="16">
        <v>0.0231059413303724</v>
      </c>
      <c r="I33" s="16">
        <v>0.018469985046805294</v>
      </c>
      <c r="J33" s="14" t="s">
        <v>20</v>
      </c>
    </row>
    <row r="34">
      <c r="B34" s="14">
        <v>25</v>
      </c>
      <c r="C34" s="23" t="s">
        <v>866</v>
      </c>
      <c r="D34" s="24">
        <v>0.2236</v>
      </c>
      <c r="E34" s="15">
        <v>406590846</v>
      </c>
      <c r="F34" s="15">
        <v>406590846</v>
      </c>
      <c r="G34" s="14" t="s">
        <v>24</v>
      </c>
      <c r="H34" s="16">
        <v>0.00448526164978011</v>
      </c>
      <c r="I34" s="16">
        <v>0.0038649576503056097</v>
      </c>
      <c r="J34" s="14" t="s">
        <v>20</v>
      </c>
    </row>
    <row r="35">
      <c r="B35" s="14">
        <v>26</v>
      </c>
      <c r="C35" s="23" t="s">
        <v>867</v>
      </c>
      <c r="D35" s="24">
        <v>0.122</v>
      </c>
      <c r="E35" s="15">
        <v>644218473</v>
      </c>
      <c r="F35" s="15">
        <v>644746954</v>
      </c>
      <c r="G35" s="14" t="s">
        <v>19</v>
      </c>
      <c r="H35" s="16">
        <v>0.00192368969764147</v>
      </c>
      <c r="I35" s="16">
        <v>0.0016590065518907971</v>
      </c>
      <c r="J35" s="14" t="s">
        <v>20</v>
      </c>
    </row>
    <row r="36">
      <c r="B36" s="14">
        <v>27</v>
      </c>
      <c r="C36" s="23" t="s">
        <v>868</v>
      </c>
      <c r="D36" s="24">
        <v>0.1633</v>
      </c>
      <c r="E36" s="15">
        <v>5266557429</v>
      </c>
      <c r="F36" s="15">
        <v>5266557429</v>
      </c>
      <c r="G36" s="14" t="s">
        <v>24</v>
      </c>
      <c r="H36" s="16">
        <v>0.10116968335188399</v>
      </c>
      <c r="I36" s="16">
        <v>0.087178089583285878</v>
      </c>
      <c r="J36" s="14" t="s">
        <v>20</v>
      </c>
    </row>
    <row r="37">
      <c r="B37" s="14">
        <v>28</v>
      </c>
      <c r="C37" s="23" t="s">
        <v>869</v>
      </c>
      <c r="D37" s="24">
        <v>0.3847</v>
      </c>
      <c r="E37" s="15">
        <v>381174917</v>
      </c>
      <c r="F37" s="15">
        <v>416466886</v>
      </c>
      <c r="G37" s="14" t="s">
        <v>19</v>
      </c>
      <c r="H37" s="16">
        <v>0.00034799078554791004</v>
      </c>
      <c r="I37" s="16">
        <v>0.00032762788857630741</v>
      </c>
      <c r="J37" s="14" t="s">
        <v>24</v>
      </c>
    </row>
    <row r="38">
      <c r="B38" s="14">
        <v>29</v>
      </c>
      <c r="C38" s="23" t="s">
        <v>870</v>
      </c>
      <c r="D38" s="24">
        <v>0.2609</v>
      </c>
      <c r="E38" s="15">
        <v>4638143048</v>
      </c>
      <c r="F38" s="15">
        <v>4254892831</v>
      </c>
      <c r="G38" s="14" t="s">
        <v>20</v>
      </c>
      <c r="H38" s="16">
        <v>0.00299933688611416</v>
      </c>
      <c r="I38" s="16">
        <v>0.0023709734594953551</v>
      </c>
      <c r="J38" s="14" t="s">
        <v>20</v>
      </c>
    </row>
    <row r="39">
      <c r="B39" s="14">
        <v>30</v>
      </c>
      <c r="C39" s="23" t="s">
        <v>871</v>
      </c>
      <c r="D39" s="24">
        <v>0.2511</v>
      </c>
      <c r="E39" s="15">
        <v>1820999884</v>
      </c>
      <c r="F39" s="15">
        <v>1822451458</v>
      </c>
      <c r="G39" s="14" t="s">
        <v>19</v>
      </c>
      <c r="H39" s="16">
        <v>0.053164347810745693</v>
      </c>
      <c r="I39" s="16">
        <v>0.04584832763272171</v>
      </c>
      <c r="J39" s="14" t="s">
        <v>20</v>
      </c>
    </row>
    <row r="40">
      <c r="B40" s="14">
        <v>31</v>
      </c>
      <c r="C40" s="23" t="s">
        <v>872</v>
      </c>
      <c r="D40" s="24">
        <v>0.2274</v>
      </c>
      <c r="E40" s="15">
        <v>133518524</v>
      </c>
      <c r="F40" s="15">
        <v>133518524</v>
      </c>
      <c r="G40" s="14" t="s">
        <v>24</v>
      </c>
      <c r="H40" s="16">
        <v>0.00039869736716335</v>
      </c>
      <c r="I40" s="16">
        <v>0.00034355820471684904</v>
      </c>
      <c r="J40" s="14" t="s">
        <v>20</v>
      </c>
    </row>
    <row r="41">
      <c r="B41" s="14">
        <v>32</v>
      </c>
      <c r="C41" s="23" t="s">
        <v>873</v>
      </c>
      <c r="D41" s="24">
        <v>0.5606</v>
      </c>
      <c r="E41" s="15">
        <v>976659329</v>
      </c>
      <c r="F41" s="15">
        <v>976659329</v>
      </c>
      <c r="G41" s="14" t="s">
        <v>24</v>
      </c>
      <c r="H41" s="16">
        <v>0.00100308804684629</v>
      </c>
      <c r="I41" s="16">
        <v>0.00086436268925592992</v>
      </c>
      <c r="J41" s="14" t="s">
        <v>20</v>
      </c>
    </row>
    <row r="42">
      <c r="B42" s="14">
        <v>33</v>
      </c>
      <c r="C42" s="23" t="s">
        <v>874</v>
      </c>
      <c r="D42" s="24">
        <v>0.1698</v>
      </c>
      <c r="E42" s="15">
        <v>622539863</v>
      </c>
      <c r="F42" s="15">
        <v>622539863</v>
      </c>
      <c r="G42" s="14" t="s">
        <v>24</v>
      </c>
      <c r="H42" s="16">
        <v>0.0049730021706865</v>
      </c>
      <c r="I42" s="16">
        <v>0.0042852444922159352</v>
      </c>
      <c r="J42" s="14" t="s">
        <v>20</v>
      </c>
    </row>
    <row r="43">
      <c r="B43" s="14">
        <v>34</v>
      </c>
      <c r="C43" s="23" t="s">
        <v>875</v>
      </c>
      <c r="D43" s="24">
        <v>0.2247</v>
      </c>
      <c r="E43" s="15">
        <v>325892848</v>
      </c>
      <c r="F43" s="15">
        <v>638431760</v>
      </c>
      <c r="G43" s="14" t="s">
        <v>19</v>
      </c>
      <c r="H43" s="16">
        <v>0.00120248246527204</v>
      </c>
      <c r="I43" s="16">
        <v>0.0020299033625543468</v>
      </c>
      <c r="J43" s="14" t="s">
        <v>19</v>
      </c>
    </row>
    <row r="44">
      <c r="B44" s="14">
        <v>35</v>
      </c>
      <c r="C44" s="23" t="s">
        <v>876</v>
      </c>
      <c r="D44" s="24">
        <v>0.215</v>
      </c>
      <c r="E44" s="15">
        <v>615186595</v>
      </c>
      <c r="F44" s="15">
        <v>615186595</v>
      </c>
      <c r="G44" s="14" t="s">
        <v>24</v>
      </c>
      <c r="H44" s="16">
        <v>0.0011174096761102</v>
      </c>
      <c r="I44" s="16">
        <v>0.00096287383347047</v>
      </c>
      <c r="J44" s="14" t="s">
        <v>20</v>
      </c>
    </row>
    <row r="45">
      <c r="B45" s="14">
        <v>36</v>
      </c>
      <c r="C45" s="23" t="s">
        <v>877</v>
      </c>
      <c r="D45" s="24">
        <v>0.5977</v>
      </c>
      <c r="E45" s="15">
        <v>473891101</v>
      </c>
      <c r="F45" s="15">
        <v>994539014</v>
      </c>
      <c r="G45" s="14" t="s">
        <v>19</v>
      </c>
      <c r="H45" s="16">
        <v>0.00027039708206513997</v>
      </c>
      <c r="I45" s="16">
        <v>0.00048899253462819246</v>
      </c>
      <c r="J45" s="14" t="s">
        <v>19</v>
      </c>
    </row>
    <row r="46">
      <c r="B46" s="14">
        <v>37</v>
      </c>
      <c r="C46" s="23" t="s">
        <v>878</v>
      </c>
      <c r="D46" s="24">
        <v>0.1039</v>
      </c>
      <c r="E46" s="15">
        <v>103500000</v>
      </c>
      <c r="F46" s="15">
        <v>103900000</v>
      </c>
      <c r="G46" s="14" t="s">
        <v>19</v>
      </c>
      <c r="H46" s="16">
        <v>0.00013976579241959002</v>
      </c>
      <c r="I46" s="16">
        <v>0.00012090187770191538</v>
      </c>
      <c r="J46" s="14" t="s">
        <v>24</v>
      </c>
    </row>
    <row r="47">
      <c r="B47" s="14">
        <v>38</v>
      </c>
      <c r="C47" s="23" t="s">
        <v>879</v>
      </c>
      <c r="D47" s="24">
        <v>0.0758</v>
      </c>
      <c r="E47" s="15">
        <v>178090759</v>
      </c>
      <c r="F47" s="15">
        <v>217030218</v>
      </c>
      <c r="G47" s="14" t="s">
        <v>19</v>
      </c>
      <c r="H47" s="16">
        <v>0.00310777558410093</v>
      </c>
      <c r="I47" s="16">
        <v>0.0032635136124160285</v>
      </c>
      <c r="J47" s="14" t="s">
        <v>19</v>
      </c>
    </row>
    <row r="48">
      <c r="B48" s="14">
        <v>39</v>
      </c>
      <c r="C48" s="23" t="s">
        <v>880</v>
      </c>
      <c r="D48" s="24">
        <v>0.0068</v>
      </c>
      <c r="E48" s="15">
        <v>161167445</v>
      </c>
      <c r="F48" s="15">
        <v>120432816</v>
      </c>
      <c r="G48" s="14" t="s">
        <v>20</v>
      </c>
      <c r="H48" s="16">
        <v>0.00036477618341936</v>
      </c>
      <c r="I48" s="16">
        <v>0.00023488265712266987</v>
      </c>
      <c r="J48" s="14" t="s">
        <v>20</v>
      </c>
    </row>
    <row r="49">
      <c r="B49" s="14">
        <v>40</v>
      </c>
      <c r="C49" s="23" t="s">
        <v>881</v>
      </c>
      <c r="D49" s="24">
        <v>0.3383</v>
      </c>
      <c r="E49" s="15">
        <v>1195438863</v>
      </c>
      <c r="F49" s="15">
        <v>2377230973</v>
      </c>
      <c r="G49" s="14" t="s">
        <v>19</v>
      </c>
      <c r="H49" s="16">
        <v>0.0525220347751787</v>
      </c>
      <c r="I49" s="16">
        <v>0.09</v>
      </c>
      <c r="J49" s="14" t="s">
        <v>19</v>
      </c>
    </row>
    <row r="50">
      <c r="B50" s="14">
        <v>41</v>
      </c>
      <c r="C50" s="23" t="s">
        <v>882</v>
      </c>
      <c r="D50" s="24">
        <v>0.273</v>
      </c>
      <c r="E50" s="15">
        <v>218791811</v>
      </c>
      <c r="F50" s="15">
        <v>223040195</v>
      </c>
      <c r="G50" s="14" t="s">
        <v>19</v>
      </c>
      <c r="H50" s="16">
        <v>0.00018726032357215</v>
      </c>
      <c r="I50" s="16">
        <v>0.00016449579492526609</v>
      </c>
      <c r="J50" s="14" t="s">
        <v>24</v>
      </c>
    </row>
    <row r="51">
      <c r="B51" s="14">
        <v>42</v>
      </c>
      <c r="C51" s="23" t="s">
        <v>883</v>
      </c>
      <c r="D51" s="24">
        <v>0.1365</v>
      </c>
      <c r="E51" s="15">
        <v>11765202584</v>
      </c>
      <c r="F51" s="15">
        <v>11405895971</v>
      </c>
      <c r="G51" s="14" t="s">
        <v>20</v>
      </c>
      <c r="H51" s="16">
        <v>0.0565018912278362</v>
      </c>
      <c r="I51" s="16">
        <v>0.047200862902344522</v>
      </c>
      <c r="J51" s="14" t="s">
        <v>20</v>
      </c>
    </row>
    <row r="52">
      <c r="B52" s="14">
        <v>43</v>
      </c>
      <c r="C52" s="23" t="s">
        <v>884</v>
      </c>
      <c r="D52" s="24">
        <v>0.3008</v>
      </c>
      <c r="E52" s="15">
        <v>627123129</v>
      </c>
      <c r="F52" s="15">
        <v>627123129</v>
      </c>
      <c r="G52" s="14" t="s">
        <v>24</v>
      </c>
      <c r="H52" s="16">
        <v>0.00048306996302757</v>
      </c>
      <c r="I52" s="16">
        <v>0.00041626221550483797</v>
      </c>
      <c r="J52" s="14" t="s">
        <v>20</v>
      </c>
    </row>
    <row r="53">
      <c r="B53" s="14">
        <v>44</v>
      </c>
      <c r="C53" s="23" t="s">
        <v>885</v>
      </c>
      <c r="D53" s="24">
        <v>0.2208</v>
      </c>
      <c r="E53" s="15">
        <v>170016000</v>
      </c>
      <c r="F53" s="15">
        <v>170016000</v>
      </c>
      <c r="G53" s="14" t="s">
        <v>24</v>
      </c>
      <c r="H53" s="16">
        <v>0.00039450436927387</v>
      </c>
      <c r="I53" s="16">
        <v>0.00033994509129891946</v>
      </c>
      <c r="J53" s="14" t="s">
        <v>20</v>
      </c>
    </row>
    <row r="54">
      <c r="B54" s="14">
        <v>45</v>
      </c>
      <c r="C54" s="23" t="s">
        <v>886</v>
      </c>
      <c r="D54" s="24">
        <v>0.2105</v>
      </c>
      <c r="E54" s="15">
        <v>519221736</v>
      </c>
      <c r="F54" s="15">
        <v>525462381</v>
      </c>
      <c r="G54" s="14" t="s">
        <v>19</v>
      </c>
      <c r="H54" s="16">
        <v>0.00246885205734208</v>
      </c>
      <c r="I54" s="16">
        <v>0.002152983928697381</v>
      </c>
      <c r="J54" s="14" t="s">
        <v>20</v>
      </c>
    </row>
    <row r="55">
      <c r="B55" s="14">
        <v>46</v>
      </c>
      <c r="C55" s="23" t="s">
        <v>887</v>
      </c>
      <c r="D55" s="24">
        <v>0.4783</v>
      </c>
      <c r="E55" s="15">
        <v>2609976864</v>
      </c>
      <c r="F55" s="15">
        <v>3035875326</v>
      </c>
      <c r="G55" s="14" t="s">
        <v>19</v>
      </c>
      <c r="H55" s="16">
        <v>0.0061554603102162994</v>
      </c>
      <c r="I55" s="16">
        <v>0.0061697102299620426</v>
      </c>
      <c r="J55" s="14" t="s">
        <v>24</v>
      </c>
    </row>
    <row r="56">
      <c r="B56" s="14">
        <v>47</v>
      </c>
      <c r="C56" s="23" t="s">
        <v>888</v>
      </c>
      <c r="D56" s="24">
        <v>0.1423</v>
      </c>
      <c r="E56" s="15">
        <v>249000000</v>
      </c>
      <c r="F56" s="15">
        <v>426900000</v>
      </c>
      <c r="G56" s="14" t="s">
        <v>19</v>
      </c>
      <c r="H56" s="16">
        <v>0.00285337328614919</v>
      </c>
      <c r="I56" s="16">
        <v>0.0042154345976692072</v>
      </c>
      <c r="J56" s="14" t="s">
        <v>19</v>
      </c>
    </row>
    <row r="57">
      <c r="B57" s="14">
        <v>48</v>
      </c>
      <c r="C57" s="23" t="s">
        <v>889</v>
      </c>
      <c r="D57" s="24">
        <v>0.109</v>
      </c>
      <c r="E57" s="15">
        <v>4562099787</v>
      </c>
      <c r="F57" s="15">
        <v>4558982907</v>
      </c>
      <c r="G57" s="14" t="s">
        <v>20</v>
      </c>
      <c r="H57" s="16">
        <v>0.041215500934606804</v>
      </c>
      <c r="I57" s="16">
        <v>0.035491203227329092</v>
      </c>
      <c r="J57" s="14" t="s">
        <v>20</v>
      </c>
    </row>
    <row r="58">
      <c r="B58" s="14">
        <v>49</v>
      </c>
      <c r="C58" s="23" t="s">
        <v>890</v>
      </c>
      <c r="D58" s="24">
        <v>0.1941</v>
      </c>
      <c r="E58" s="15">
        <v>546186139</v>
      </c>
      <c r="F58" s="15">
        <v>546186139</v>
      </c>
      <c r="G58" s="14" t="s">
        <v>24</v>
      </c>
      <c r="H58" s="16">
        <v>0.004466952380234</v>
      </c>
      <c r="I58" s="16">
        <v>0.0038491805257408942</v>
      </c>
      <c r="J58" s="14" t="s">
        <v>20</v>
      </c>
    </row>
    <row r="59">
      <c r="B59" s="14">
        <v>50</v>
      </c>
      <c r="C59" s="23" t="s">
        <v>891</v>
      </c>
      <c r="D59" s="24">
        <v>0.1338</v>
      </c>
      <c r="E59" s="15">
        <v>2134765601</v>
      </c>
      <c r="F59" s="15">
        <v>2152461473</v>
      </c>
      <c r="G59" s="14" t="s">
        <v>19</v>
      </c>
      <c r="H59" s="16">
        <v>0.0145153808386402</v>
      </c>
      <c r="I59" s="16">
        <v>0.012611611457788732</v>
      </c>
      <c r="J59" s="14" t="s">
        <v>20</v>
      </c>
    </row>
    <row r="60">
      <c r="B60" s="14">
        <v>51</v>
      </c>
      <c r="C60" s="23" t="s">
        <v>892</v>
      </c>
      <c r="D60" s="24">
        <v>0.1708</v>
      </c>
      <c r="E60" s="15">
        <v>1781068008</v>
      </c>
      <c r="F60" s="15">
        <v>1746305487</v>
      </c>
      <c r="G60" s="14" t="s">
        <v>20</v>
      </c>
      <c r="H60" s="16">
        <v>0.00279470932476447</v>
      </c>
      <c r="I60" s="16">
        <v>0.0023612029473912329</v>
      </c>
      <c r="J60" s="14" t="s">
        <v>20</v>
      </c>
    </row>
    <row r="61">
      <c r="B61" s="14">
        <v>52</v>
      </c>
      <c r="C61" s="23" t="s">
        <v>893</v>
      </c>
      <c r="D61" s="24">
        <v>0.2667</v>
      </c>
      <c r="E61" s="15">
        <v>400050000</v>
      </c>
      <c r="F61" s="15">
        <v>400050000</v>
      </c>
      <c r="G61" s="14" t="s">
        <v>24</v>
      </c>
      <c r="H61" s="16">
        <v>0.00026630818316812003</v>
      </c>
      <c r="I61" s="16">
        <v>0.00022947821796591981</v>
      </c>
      <c r="J61" s="14" t="s">
        <v>20</v>
      </c>
    </row>
    <row r="62">
      <c r="B62" s="14">
        <v>53</v>
      </c>
      <c r="C62" s="23" t="s">
        <v>894</v>
      </c>
      <c r="D62" s="24">
        <v>0.4715</v>
      </c>
      <c r="E62" s="15">
        <v>2921391633</v>
      </c>
      <c r="F62" s="15">
        <v>2923251602</v>
      </c>
      <c r="G62" s="14" t="s">
        <v>19</v>
      </c>
      <c r="H62" s="16">
        <v>0.0082234430496047686</v>
      </c>
      <c r="I62" s="16">
        <v>0.0070906665324919921</v>
      </c>
      <c r="J62" s="14" t="s">
        <v>20</v>
      </c>
    </row>
    <row r="63">
      <c r="B63" s="14">
        <v>54</v>
      </c>
      <c r="C63" s="23" t="s">
        <v>895</v>
      </c>
      <c r="D63" s="24">
        <v>0.0875</v>
      </c>
      <c r="E63" s="15">
        <v>84130363</v>
      </c>
      <c r="F63" s="15">
        <v>76841406</v>
      </c>
      <c r="G63" s="14" t="s">
        <v>20</v>
      </c>
      <c r="H63" s="16">
        <v>0.00076006120355721007</v>
      </c>
      <c r="I63" s="16">
        <v>0.00059820227913057384</v>
      </c>
      <c r="J63" s="14" t="s">
        <v>20</v>
      </c>
    </row>
    <row r="64">
      <c r="B64" s="14">
        <v>55</v>
      </c>
      <c r="C64" s="23" t="s">
        <v>896</v>
      </c>
      <c r="D64" s="24">
        <v>0.1555</v>
      </c>
      <c r="E64" s="15">
        <v>194375000</v>
      </c>
      <c r="F64" s="15">
        <v>194375000</v>
      </c>
      <c r="G64" s="14" t="s">
        <v>24</v>
      </c>
      <c r="H64" s="16">
        <v>0.00231983090130326</v>
      </c>
      <c r="I64" s="16">
        <v>0.0019990022645202457</v>
      </c>
      <c r="J64" s="14" t="s">
        <v>20</v>
      </c>
    </row>
    <row r="65">
      <c r="B65" s="14">
        <v>56</v>
      </c>
      <c r="C65" s="23" t="s">
        <v>897</v>
      </c>
      <c r="D65" s="24">
        <v>0.5445</v>
      </c>
      <c r="E65" s="15">
        <v>2629293387</v>
      </c>
      <c r="F65" s="15">
        <v>2562008320</v>
      </c>
      <c r="G65" s="14" t="s">
        <v>20</v>
      </c>
      <c r="H65" s="16">
        <v>0.0293798187821813</v>
      </c>
      <c r="I65" s="16">
        <v>0.024668773433832784</v>
      </c>
      <c r="J65" s="14" t="s">
        <v>20</v>
      </c>
    </row>
    <row r="66">
      <c r="B66" s="14">
        <v>57</v>
      </c>
      <c r="C66" s="23" t="s">
        <v>898</v>
      </c>
      <c r="D66" s="24">
        <v>0.0009</v>
      </c>
      <c r="E66" s="15">
        <v>1023822</v>
      </c>
      <c r="F66" s="15">
        <v>1023822</v>
      </c>
      <c r="G66" s="14" t="s">
        <v>24</v>
      </c>
      <c r="H66" s="16">
        <v>0.00042693941645245004</v>
      </c>
      <c r="I66" s="16">
        <v>0.00036789432938876031</v>
      </c>
      <c r="J66" s="14" t="s">
        <v>24</v>
      </c>
    </row>
    <row r="67">
      <c r="B67" s="14">
        <v>58</v>
      </c>
      <c r="C67" s="23" t="s">
        <v>899</v>
      </c>
      <c r="D67" s="24">
        <v>0.374</v>
      </c>
      <c r="E67" s="15">
        <v>448800260</v>
      </c>
      <c r="F67" s="15">
        <v>448800260</v>
      </c>
      <c r="G67" s="14" t="s">
        <v>24</v>
      </c>
      <c r="H67" s="16">
        <v>0.00048228498396971</v>
      </c>
      <c r="I67" s="16">
        <v>0.00041558579774542191</v>
      </c>
      <c r="J67" s="14" t="s">
        <v>20</v>
      </c>
    </row>
    <row r="68">
      <c r="B68" s="14">
        <v>59</v>
      </c>
      <c r="C68" s="23" t="s">
        <v>900</v>
      </c>
      <c r="D68" s="24">
        <v>0.0795</v>
      </c>
      <c r="E68" s="15">
        <v>1844279755</v>
      </c>
      <c r="F68" s="15">
        <v>1801231456</v>
      </c>
      <c r="G68" s="14" t="s">
        <v>20</v>
      </c>
      <c r="H68" s="16">
        <v>0.027185084926958602</v>
      </c>
      <c r="I68" s="16">
        <v>0.022878648961391908</v>
      </c>
      <c r="J68" s="14" t="s">
        <v>20</v>
      </c>
    </row>
    <row r="69">
      <c r="B69" s="14">
        <v>60</v>
      </c>
      <c r="C69" s="23" t="s">
        <v>901</v>
      </c>
      <c r="D69" s="24">
        <v>0.7757</v>
      </c>
      <c r="E69" s="15">
        <v>2133175000</v>
      </c>
      <c r="F69" s="15">
        <v>2133175000</v>
      </c>
      <c r="G69" s="14" t="s">
        <v>24</v>
      </c>
      <c r="H69" s="16">
        <v>0.00054772485164357</v>
      </c>
      <c r="I69" s="16">
        <v>0.0004719754436215178</v>
      </c>
      <c r="J69" s="14" t="s">
        <v>24</v>
      </c>
    </row>
    <row r="70">
      <c r="B70" s="14">
        <v>61</v>
      </c>
      <c r="C70" s="23" t="s">
        <v>902</v>
      </c>
      <c r="D70" s="24">
        <v>0.4701</v>
      </c>
      <c r="E70" s="15">
        <v>3765977921</v>
      </c>
      <c r="F70" s="15">
        <v>3710407802</v>
      </c>
      <c r="G70" s="14" t="s">
        <v>20</v>
      </c>
      <c r="H70" s="16">
        <v>0.106008741209441</v>
      </c>
      <c r="I70" s="16">
        <v>0.09</v>
      </c>
      <c r="J70" s="14" t="s">
        <v>20</v>
      </c>
    </row>
    <row r="71">
      <c r="B71" s="14">
        <v>62</v>
      </c>
      <c r="C71" s="23" t="s">
        <v>903</v>
      </c>
      <c r="D71" s="24">
        <v>0.4667</v>
      </c>
      <c r="E71" s="15">
        <v>15555111000</v>
      </c>
      <c r="F71" s="15">
        <v>15555111000</v>
      </c>
      <c r="G71" s="14" t="s">
        <v>24</v>
      </c>
      <c r="H71" s="16">
        <v>0.0001479262716942</v>
      </c>
      <c r="I71" s="16">
        <v>0.00012746832190769282</v>
      </c>
      <c r="J71" s="14" t="s">
        <v>24</v>
      </c>
    </row>
    <row r="72">
      <c r="B72" s="14">
        <v>63</v>
      </c>
      <c r="C72" s="23" t="s">
        <v>904</v>
      </c>
      <c r="D72" s="24">
        <v>0.3017</v>
      </c>
      <c r="E72" s="15">
        <v>1030161000</v>
      </c>
      <c r="F72" s="15">
        <v>1028797000</v>
      </c>
      <c r="G72" s="14" t="s">
        <v>20</v>
      </c>
      <c r="H72" s="16">
        <v>0.00979664342959469</v>
      </c>
      <c r="I72" s="16">
        <v>0.0084306069672963873</v>
      </c>
      <c r="J72" s="14" t="s">
        <v>20</v>
      </c>
    </row>
    <row r="73">
      <c r="B73" s="14">
        <v>64</v>
      </c>
      <c r="C73" s="23" t="s">
        <v>905</v>
      </c>
      <c r="D73" s="24">
        <v>0.3266</v>
      </c>
      <c r="E73" s="15">
        <v>19395997645</v>
      </c>
      <c r="F73" s="15">
        <v>19301440679</v>
      </c>
      <c r="G73" s="14" t="s">
        <v>20</v>
      </c>
      <c r="H73" s="16">
        <v>0.082265772154680908</v>
      </c>
      <c r="I73" s="16">
        <v>0.070542969776811765</v>
      </c>
      <c r="J73" s="14" t="s">
        <v>20</v>
      </c>
    </row>
    <row r="74">
      <c r="B74" s="14">
        <v>65</v>
      </c>
      <c r="C74" s="23" t="s">
        <v>906</v>
      </c>
      <c r="D74" s="24">
        <v>0.2595</v>
      </c>
      <c r="E74" s="15">
        <v>2834269200</v>
      </c>
      <c r="F74" s="15">
        <v>2483934000</v>
      </c>
      <c r="G74" s="14" t="s">
        <v>20</v>
      </c>
      <c r="H74" s="16">
        <v>0.00150938948883662</v>
      </c>
      <c r="I74" s="16">
        <v>0.0011398750113534987</v>
      </c>
      <c r="J74" s="14" t="s">
        <v>20</v>
      </c>
    </row>
    <row r="75">
      <c r="B75" s="14">
        <v>66</v>
      </c>
      <c r="C75" s="23" t="s">
        <v>907</v>
      </c>
      <c r="D75" s="24">
        <v>0.0896</v>
      </c>
      <c r="E75" s="15">
        <v>3572626522</v>
      </c>
      <c r="F75" s="15">
        <v>3572626522</v>
      </c>
      <c r="G75" s="14" t="s">
        <v>24</v>
      </c>
      <c r="H75" s="16">
        <v>0.00693090557806206</v>
      </c>
      <c r="I75" s="16">
        <v>0.0059723732176707768</v>
      </c>
      <c r="J75" s="14" t="s">
        <v>20</v>
      </c>
    </row>
    <row r="76">
      <c r="B76" s="14">
        <v>67</v>
      </c>
      <c r="C76" s="23" t="s">
        <v>908</v>
      </c>
      <c r="D76" s="24">
        <v>0.2171</v>
      </c>
      <c r="E76" s="15">
        <v>6253957803</v>
      </c>
      <c r="F76" s="15">
        <v>6253957803</v>
      </c>
      <c r="G76" s="14" t="s">
        <v>24</v>
      </c>
      <c r="H76" s="16">
        <v>0.012013747863862001</v>
      </c>
      <c r="I76" s="16">
        <v>0.010352267129647361</v>
      </c>
      <c r="J76" s="14" t="s">
        <v>20</v>
      </c>
    </row>
    <row r="77" ht="14.5" customHeight="1">
      <c r="B77" s="30" t="s">
        <v>112</v>
      </c>
      <c r="C77" s="30"/>
      <c r="D77" s="30"/>
      <c r="E77" s="30"/>
      <c r="F77" s="30"/>
      <c r="G77" s="30"/>
      <c r="H77" s="30"/>
      <c r="I77" s="30"/>
      <c r="J77" s="30"/>
    </row>
    <row r="78">
      <c r="B78" s="31"/>
      <c r="C78" s="31"/>
      <c r="D78" s="31"/>
      <c r="E78" s="31"/>
      <c r="F78" s="31"/>
      <c r="G78" s="31"/>
      <c r="H78" s="31"/>
      <c r="I78" s="31"/>
      <c r="J78" s="31"/>
    </row>
    <row r="79">
      <c r="B79" s="17"/>
      <c r="C79" s="18"/>
      <c r="D79" s="19"/>
      <c r="E79" s="20"/>
      <c r="F79" s="21"/>
      <c r="G79" s="20"/>
      <c r="H79" s="21"/>
      <c r="I79" s="17"/>
    </row>
    <row r="80">
      <c r="D80" s="26"/>
      <c r="E80" s="26"/>
    </row>
  </sheetData>
  <mergeCells>
    <mergeCell ref="B77:J78"/>
    <mergeCell ref="B2:H2"/>
    <mergeCell ref="B8:B9"/>
    <mergeCell ref="C8:C9"/>
    <mergeCell ref="D8:D9"/>
    <mergeCell ref="E8:G8"/>
    <mergeCell ref="H8:J8"/>
  </mergeCells>
  <conditionalFormatting sqref="B77">
    <cfRule type="expression" dxfId="0" priority="1">
      <formula>$H77="Baru"</formula>
    </cfRule>
  </conditionalFormatting>
  <conditionalFormatting sqref="B79:I79">
    <cfRule type="expression" dxfId="0" priority="4">
      <formula>$I79="Baru"</formula>
    </cfRule>
  </conditionalFormatting>
  <conditionalFormatting sqref="B10:J76">
    <cfRule type="expression" dxfId="0" priority="2">
      <formula>$J10="Baru"</formula>
    </cfRule>
  </conditionalFormatting>
  <pageMargins left="0.7" right="0.7" top="0.75" bottom="0.75" header="0.3" footer="0.3"/>
  <headerFooter>
    <oddFooter>&amp;L_x000D_&amp;1#&amp;"Calibri"&amp;10&amp;K000000 Kode 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892D-2ECC-4BC7-B505-20FE96024EDC}">
  <dimension ref="A2:J47"/>
  <sheetViews>
    <sheetView zoomScaleNormal="100" workbookViewId="0">
      <selection activeCell="M11" sqref="M11"/>
    </sheetView>
  </sheetViews>
  <sheetFormatPr defaultColWidth="8.81640625" defaultRowHeight="14.5" x14ac:dyDescent="0.35"/>
  <cols>
    <col min="1" max="1" width="5.1796875" customWidth="1"/>
    <col min="2" max="2" width="5.1796875" customWidth="1" style="2"/>
    <col min="3" max="4" width="10.453125" customWidth="1" style="2"/>
    <col min="5" max="6" width="18.453125" customWidth="1" style="2"/>
    <col min="7" max="8" width="10.453125" customWidth="1" style="2"/>
    <col min="9" max="10" width="10.453125" customWidth="1"/>
  </cols>
  <sheetData>
    <row r="2" s="6" customFormat="1">
      <c r="B2" s="32" t="str">
        <f>LEFT('A ENERGY'!B2,9) &amp; (VALUE(MID('A ENERGY'!B2,10,1))+10) &amp; _xlfn.TEXTAFTER('A ENERGY'!B2,"Lampiran 5")</f>
        <v>Lampiran 15 Pengumuman BEI No. Peng-00044/BEI.POP/03-2026 tanggal 25 Maret 2026</v>
      </c>
      <c r="C2" s="32"/>
      <c r="D2" s="32"/>
      <c r="E2" s="32"/>
      <c r="F2" s="32"/>
      <c r="G2" s="32"/>
      <c r="H2" s="32"/>
    </row>
    <row r="3" s="6" customFormat="1">
      <c r="B3" s="5" t="s">
        <v>1</v>
      </c>
      <c r="C3" s="3"/>
      <c r="D3" s="3"/>
      <c r="F3" s="22"/>
      <c r="G3" s="22" t="s">
        <v>909</v>
      </c>
      <c r="H3" s="22"/>
      <c r="I3" s="22"/>
    </row>
    <row r="4" s="6" customFormat="1">
      <c r="B4" s="5" t="s">
        <v>3</v>
      </c>
      <c r="C4" s="3"/>
      <c r="D4" s="3"/>
      <c r="F4" s="22"/>
      <c r="G4" s="22" t="str">
        <f>'A ENERGY'!G4</f>
        <v>:  Minor</v>
      </c>
      <c r="H4" s="22"/>
      <c r="I4" s="22"/>
    </row>
    <row r="5" s="6" customFormat="1">
      <c r="B5" s="5" t="s">
        <v>5</v>
      </c>
      <c r="C5" s="3"/>
      <c r="D5" s="3"/>
      <c r="F5" s="22"/>
      <c r="G5" s="22" t="str">
        <f>'A ENERGY'!G5</f>
        <v>:  1 April s.d. 30 Juni 2026</v>
      </c>
      <c r="H5" s="22"/>
      <c r="I5" s="22"/>
    </row>
    <row r="6" s="6" customFormat="1">
      <c r="B6" s="5" t="s">
        <v>7</v>
      </c>
      <c r="C6" s="3"/>
      <c r="D6" s="3"/>
      <c r="F6" s="22"/>
      <c r="G6" s="22" t="str">
        <f>'A ENERGY'!G6</f>
        <v>:  1 April s.d. 30 Juni 2026</v>
      </c>
      <c r="H6" s="22"/>
      <c r="I6" s="22"/>
    </row>
    <row r="7" s="6" customFormat="1">
      <c r="B7" s="3"/>
      <c r="C7" s="3"/>
      <c r="D7" s="3"/>
      <c r="E7" s="3"/>
      <c r="F7" s="3"/>
      <c r="G7" s="3"/>
      <c r="H7" s="3"/>
    </row>
    <row r="8" ht="15" customHeight="1" s="6" customFormat="1">
      <c r="B8" s="33" t="s">
        <v>8</v>
      </c>
      <c r="C8" s="33" t="s">
        <v>9</v>
      </c>
      <c r="D8" s="34" t="s">
        <v>10</v>
      </c>
      <c r="E8" s="36" t="s">
        <v>11</v>
      </c>
      <c r="F8" s="37"/>
      <c r="G8" s="37"/>
      <c r="H8" s="33" t="s">
        <v>12</v>
      </c>
      <c r="I8" s="33"/>
      <c r="J8" s="33"/>
    </row>
    <row r="9" ht="55" customHeight="1" s="6" customFormat="1">
      <c r="B9" s="33"/>
      <c r="C9" s="33"/>
      <c r="D9" s="35"/>
      <c r="E9" s="13" t="s">
        <v>13</v>
      </c>
      <c r="F9" s="13" t="s">
        <v>910</v>
      </c>
      <c r="G9" s="25" t="s">
        <v>15</v>
      </c>
      <c r="H9" s="13" t="s">
        <v>16</v>
      </c>
      <c r="I9" s="13" t="s">
        <v>17</v>
      </c>
      <c r="J9" s="25" t="s">
        <v>15</v>
      </c>
    </row>
    <row r="10">
      <c r="B10" s="14">
        <v>1</v>
      </c>
      <c r="C10" s="23" t="s">
        <v>911</v>
      </c>
      <c r="D10" s="24">
        <v>0.0753</v>
      </c>
      <c r="E10" s="15">
        <v>54216000</v>
      </c>
      <c r="F10" s="15">
        <v>54216000</v>
      </c>
      <c r="G10" s="14" t="s">
        <v>24</v>
      </c>
      <c r="H10" s="16">
        <v>0.0015384982468438799</v>
      </c>
      <c r="I10" s="16">
        <v>0.0014363098174997205</v>
      </c>
      <c r="J10" s="14" t="s">
        <v>20</v>
      </c>
    </row>
    <row r="11">
      <c r="B11" s="14">
        <v>2</v>
      </c>
      <c r="C11" s="23" t="s">
        <v>912</v>
      </c>
      <c r="D11" s="24">
        <v>0.4045</v>
      </c>
      <c r="E11" s="15">
        <v>1414844406</v>
      </c>
      <c r="F11" s="15">
        <v>1493065126</v>
      </c>
      <c r="G11" s="14" t="s">
        <v>19</v>
      </c>
      <c r="H11" s="16">
        <v>0.14391760621139998</v>
      </c>
      <c r="I11" s="16">
        <v>0.14178657752237242</v>
      </c>
      <c r="J11" s="14" t="s">
        <v>20</v>
      </c>
    </row>
    <row r="12">
      <c r="B12" s="14">
        <v>3</v>
      </c>
      <c r="C12" s="23" t="s">
        <v>913</v>
      </c>
      <c r="D12" s="24">
        <v>0.2494</v>
      </c>
      <c r="E12" s="15">
        <v>624023740</v>
      </c>
      <c r="F12" s="15">
        <v>624023740</v>
      </c>
      <c r="G12" s="14" t="s">
        <v>24</v>
      </c>
      <c r="H12" s="16">
        <v>0.10676910177681799</v>
      </c>
      <c r="I12" s="16">
        <v>0.099677402559453385</v>
      </c>
      <c r="J12" s="14" t="s">
        <v>20</v>
      </c>
    </row>
    <row r="13">
      <c r="B13" s="14">
        <v>4</v>
      </c>
      <c r="C13" s="23" t="s">
        <v>914</v>
      </c>
      <c r="D13" s="24">
        <v>0.2</v>
      </c>
      <c r="E13" s="15">
        <v>675897440</v>
      </c>
      <c r="F13" s="15">
        <v>675897440</v>
      </c>
      <c r="G13" s="14" t="s">
        <v>24</v>
      </c>
      <c r="H13" s="16">
        <v>0.0253853953423138</v>
      </c>
      <c r="I13" s="16">
        <v>0.023699274683006408</v>
      </c>
      <c r="J13" s="14" t="s">
        <v>20</v>
      </c>
    </row>
    <row r="14">
      <c r="B14" s="14">
        <v>5</v>
      </c>
      <c r="C14" s="23" t="s">
        <v>915</v>
      </c>
      <c r="D14" s="24">
        <v>0.459</v>
      </c>
      <c r="E14" s="15">
        <v>11903951862</v>
      </c>
      <c r="F14" s="15">
        <v>11906545880</v>
      </c>
      <c r="G14" s="14" t="s">
        <v>19</v>
      </c>
      <c r="H14" s="16">
        <v>0.053402334969669306</v>
      </c>
      <c r="I14" s="16">
        <v>0.049866168213527039</v>
      </c>
      <c r="J14" s="14" t="s">
        <v>20</v>
      </c>
    </row>
    <row r="15">
      <c r="B15" s="14">
        <v>6</v>
      </c>
      <c r="C15" s="23" t="s">
        <v>916</v>
      </c>
      <c r="D15" s="24">
        <v>0.0955</v>
      </c>
      <c r="E15" s="15">
        <v>337497000</v>
      </c>
      <c r="F15" s="15">
        <v>337497000</v>
      </c>
      <c r="G15" s="14" t="s">
        <v>24</v>
      </c>
      <c r="H15" s="16">
        <v>0.00278161895462747</v>
      </c>
      <c r="I15" s="16">
        <v>0.0025968613362223453</v>
      </c>
      <c r="J15" s="14" t="s">
        <v>20</v>
      </c>
    </row>
    <row r="16">
      <c r="B16" s="14">
        <v>7</v>
      </c>
      <c r="C16" s="23" t="s">
        <v>917</v>
      </c>
      <c r="D16" s="24">
        <v>0.0758</v>
      </c>
      <c r="E16" s="15">
        <v>809932433</v>
      </c>
      <c r="F16" s="15">
        <v>809932433</v>
      </c>
      <c r="G16" s="14" t="s">
        <v>24</v>
      </c>
      <c r="H16" s="16">
        <v>0.00760487235025889</v>
      </c>
      <c r="I16" s="16">
        <v>0.0070997499249005206</v>
      </c>
      <c r="J16" s="14" t="s">
        <v>20</v>
      </c>
    </row>
    <row r="17">
      <c r="B17" s="14">
        <v>8</v>
      </c>
      <c r="C17" s="23" t="s">
        <v>918</v>
      </c>
      <c r="D17" s="24">
        <v>0.8498</v>
      </c>
      <c r="E17" s="15">
        <v>974016081</v>
      </c>
      <c r="F17" s="15">
        <v>974016081</v>
      </c>
      <c r="G17" s="14" t="s">
        <v>24</v>
      </c>
      <c r="H17" s="16">
        <v>0.00060970254318358</v>
      </c>
      <c r="I17" s="16">
        <v>0.00056920555501965386</v>
      </c>
      <c r="J17" s="14" t="s">
        <v>24</v>
      </c>
    </row>
    <row r="18" s="4" customFormat="1">
      <c r="B18" s="14">
        <v>9</v>
      </c>
      <c r="C18" s="23" t="s">
        <v>919</v>
      </c>
      <c r="D18" s="24">
        <v>0.15</v>
      </c>
      <c r="E18" s="15">
        <v>1111800000</v>
      </c>
      <c r="F18" s="15">
        <v>1111800000</v>
      </c>
      <c r="G18" s="14" t="s">
        <v>24</v>
      </c>
      <c r="H18" s="16">
        <v>0.15426909780665998</v>
      </c>
      <c r="I18" s="16">
        <v>0.14402240637653169</v>
      </c>
      <c r="J18" s="14" t="s">
        <v>20</v>
      </c>
    </row>
    <row r="19" s="4" customFormat="1">
      <c r="B19" s="14">
        <v>10</v>
      </c>
      <c r="C19" s="23" t="s">
        <v>920</v>
      </c>
      <c r="D19" s="24">
        <v>0.0785</v>
      </c>
      <c r="E19" s="15">
        <v>15848978203</v>
      </c>
      <c r="F19" s="15">
        <v>24063540873</v>
      </c>
      <c r="G19" s="14" t="s">
        <v>19</v>
      </c>
      <c r="H19" s="16">
        <v>0.105823439052428</v>
      </c>
      <c r="I19" s="16">
        <v>0.15</v>
      </c>
      <c r="J19" s="14" t="s">
        <v>19</v>
      </c>
    </row>
    <row r="20">
      <c r="B20" s="14">
        <v>11</v>
      </c>
      <c r="C20" s="23" t="s">
        <v>921</v>
      </c>
      <c r="D20" s="24">
        <v>0.2</v>
      </c>
      <c r="E20" s="15">
        <v>378875000</v>
      </c>
      <c r="F20" s="15">
        <v>378875000</v>
      </c>
      <c r="G20" s="14" t="s">
        <v>24</v>
      </c>
      <c r="H20" s="16">
        <v>0.008379776572757909</v>
      </c>
      <c r="I20" s="16">
        <v>0.0078231843192523888</v>
      </c>
      <c r="J20" s="14" t="s">
        <v>20</v>
      </c>
    </row>
    <row r="21">
      <c r="B21" s="14">
        <v>12</v>
      </c>
      <c r="C21" s="23" t="s">
        <v>922</v>
      </c>
      <c r="D21" s="24">
        <v>0.1998</v>
      </c>
      <c r="E21" s="15">
        <v>524724750</v>
      </c>
      <c r="F21" s="15">
        <v>524724750</v>
      </c>
      <c r="G21" s="14" t="s">
        <v>24</v>
      </c>
      <c r="H21" s="16">
        <v>0.011386637983314801</v>
      </c>
      <c r="I21" s="16">
        <v>0.010630327306060207</v>
      </c>
      <c r="J21" s="14" t="s">
        <v>20</v>
      </c>
    </row>
    <row r="22">
      <c r="B22" s="14">
        <v>13</v>
      </c>
      <c r="C22" s="23" t="s">
        <v>923</v>
      </c>
      <c r="D22" s="24">
        <v>0.1329</v>
      </c>
      <c r="E22" s="15">
        <v>1159648000</v>
      </c>
      <c r="F22" s="15">
        <v>1153572000</v>
      </c>
      <c r="G22" s="14" t="s">
        <v>20</v>
      </c>
      <c r="H22" s="16">
        <v>0.0365370732020662</v>
      </c>
      <c r="I22" s="16">
        <v>0.033931526767075344</v>
      </c>
      <c r="J22" s="14" t="s">
        <v>20</v>
      </c>
    </row>
    <row r="23">
      <c r="B23" s="14">
        <v>14</v>
      </c>
      <c r="C23" s="23" t="s">
        <v>924</v>
      </c>
      <c r="D23" s="24">
        <v>0.1197</v>
      </c>
      <c r="E23" s="15">
        <v>95029598</v>
      </c>
      <c r="F23" s="15">
        <v>99693628</v>
      </c>
      <c r="G23" s="14" t="s">
        <v>19</v>
      </c>
      <c r="H23" s="16">
        <v>0.00192336297272295</v>
      </c>
      <c r="I23" s="16">
        <v>0.0018837396621946292</v>
      </c>
      <c r="J23" s="14" t="s">
        <v>24</v>
      </c>
    </row>
    <row r="24">
      <c r="B24" s="14">
        <v>15</v>
      </c>
      <c r="C24" s="23" t="s">
        <v>925</v>
      </c>
      <c r="D24" s="24">
        <v>0.0803</v>
      </c>
      <c r="E24" s="15">
        <v>703385357</v>
      </c>
      <c r="F24" s="15">
        <v>871195779</v>
      </c>
      <c r="G24" s="14" t="s">
        <v>19</v>
      </c>
      <c r="H24" s="16">
        <v>0.0117412391675147</v>
      </c>
      <c r="I24" s="16">
        <v>0.013576489792279024</v>
      </c>
      <c r="J24" s="14" t="s">
        <v>19</v>
      </c>
    </row>
    <row r="25">
      <c r="B25" s="14">
        <v>16</v>
      </c>
      <c r="C25" s="23" t="s">
        <v>926</v>
      </c>
      <c r="D25" s="24">
        <v>0.1982</v>
      </c>
      <c r="E25" s="15">
        <v>207130743</v>
      </c>
      <c r="F25" s="15">
        <v>158262580</v>
      </c>
      <c r="G25" s="14" t="s">
        <v>20</v>
      </c>
      <c r="H25" s="16">
        <v>0.00237704759305824</v>
      </c>
      <c r="I25" s="16">
        <v>0.0016955971522677592</v>
      </c>
      <c r="J25" s="14" t="s">
        <v>20</v>
      </c>
    </row>
    <row r="26">
      <c r="B26" s="14">
        <v>17</v>
      </c>
      <c r="C26" s="23" t="s">
        <v>927</v>
      </c>
      <c r="D26" s="24">
        <v>0.2824</v>
      </c>
      <c r="E26" s="15">
        <v>141200000</v>
      </c>
      <c r="F26" s="15">
        <v>141200000</v>
      </c>
      <c r="G26" s="14" t="s">
        <v>24</v>
      </c>
      <c r="H26" s="16">
        <v>0.0016204215524868901</v>
      </c>
      <c r="I26" s="16">
        <v>0.0015127917039227117</v>
      </c>
      <c r="J26" s="14" t="s">
        <v>20</v>
      </c>
    </row>
    <row r="27">
      <c r="B27" s="14">
        <v>18</v>
      </c>
      <c r="C27" s="23" t="s">
        <v>928</v>
      </c>
      <c r="D27" s="24">
        <v>0.2823</v>
      </c>
      <c r="E27" s="15">
        <v>908917344</v>
      </c>
      <c r="F27" s="15">
        <v>1028818630</v>
      </c>
      <c r="G27" s="14" t="s">
        <v>19</v>
      </c>
      <c r="H27" s="16">
        <v>0.0072067359823044293</v>
      </c>
      <c r="I27" s="16">
        <v>0.0076156006877146874</v>
      </c>
      <c r="J27" s="14" t="s">
        <v>19</v>
      </c>
    </row>
    <row r="28">
      <c r="B28" s="14">
        <v>19</v>
      </c>
      <c r="C28" s="23" t="s">
        <v>929</v>
      </c>
      <c r="D28" s="24">
        <v>0.3256</v>
      </c>
      <c r="E28" s="15">
        <v>700021432</v>
      </c>
      <c r="F28" s="15">
        <v>700021432</v>
      </c>
      <c r="G28" s="14" t="s">
        <v>24</v>
      </c>
      <c r="H28" s="16">
        <v>0.00533132092067565</v>
      </c>
      <c r="I28" s="16">
        <v>0.004977209820014223</v>
      </c>
      <c r="J28" s="14" t="s">
        <v>20</v>
      </c>
    </row>
    <row r="29">
      <c r="B29" s="14">
        <v>20</v>
      </c>
      <c r="C29" s="23" t="s">
        <v>930</v>
      </c>
      <c r="D29" s="24">
        <v>0.2233</v>
      </c>
      <c r="E29" s="15">
        <v>75565005</v>
      </c>
      <c r="F29" s="15">
        <v>78155005</v>
      </c>
      <c r="G29" s="14" t="s">
        <v>19</v>
      </c>
      <c r="H29" s="16">
        <v>0.00184474865281306</v>
      </c>
      <c r="I29" s="16">
        <v>0.0017812480603995554</v>
      </c>
      <c r="J29" s="14" t="s">
        <v>24</v>
      </c>
    </row>
    <row r="30">
      <c r="B30" s="14">
        <v>21</v>
      </c>
      <c r="C30" s="23" t="s">
        <v>931</v>
      </c>
      <c r="D30" s="24">
        <v>0.8231</v>
      </c>
      <c r="E30" s="15">
        <v>3259878883</v>
      </c>
      <c r="F30" s="15">
        <v>3260671173</v>
      </c>
      <c r="G30" s="14" t="s">
        <v>19</v>
      </c>
      <c r="H30" s="16">
        <v>0.00782221825983338</v>
      </c>
      <c r="I30" s="16">
        <v>0.0073044343873525193</v>
      </c>
      <c r="J30" s="14" t="s">
        <v>20</v>
      </c>
    </row>
    <row r="31">
      <c r="B31" s="14">
        <v>22</v>
      </c>
      <c r="C31" s="23" t="s">
        <v>932</v>
      </c>
      <c r="D31" s="24">
        <v>0.1924</v>
      </c>
      <c r="E31" s="15">
        <v>721601318</v>
      </c>
      <c r="F31" s="15">
        <v>721601318</v>
      </c>
      <c r="G31" s="14" t="s">
        <v>24</v>
      </c>
      <c r="H31" s="16">
        <v>0.0185196619035267</v>
      </c>
      <c r="I31" s="16">
        <v>0.017289569408842576</v>
      </c>
      <c r="J31" s="14" t="s">
        <v>20</v>
      </c>
    </row>
    <row r="32">
      <c r="B32" s="14">
        <v>23</v>
      </c>
      <c r="C32" s="23" t="s">
        <v>933</v>
      </c>
      <c r="D32" s="24">
        <v>0.1886</v>
      </c>
      <c r="E32" s="15">
        <v>377202751</v>
      </c>
      <c r="F32" s="15">
        <v>377202751</v>
      </c>
      <c r="G32" s="14" t="s">
        <v>24</v>
      </c>
      <c r="H32" s="16">
        <v>0.00590291785389273</v>
      </c>
      <c r="I32" s="16">
        <v>0.0055108407729845639</v>
      </c>
      <c r="J32" s="14" t="s">
        <v>20</v>
      </c>
    </row>
    <row r="33">
      <c r="B33" s="14">
        <v>24</v>
      </c>
      <c r="C33" s="23" t="s">
        <v>934</v>
      </c>
      <c r="D33" s="24">
        <v>0.081</v>
      </c>
      <c r="E33" s="15">
        <v>150870000</v>
      </c>
      <c r="F33" s="15">
        <v>190350000</v>
      </c>
      <c r="G33" s="14" t="s">
        <v>19</v>
      </c>
      <c r="H33" s="16">
        <v>0.00513122571963207</v>
      </c>
      <c r="I33" s="16">
        <v>0.0060439690750959526</v>
      </c>
      <c r="J33" s="14" t="s">
        <v>19</v>
      </c>
    </row>
    <row r="34">
      <c r="B34" s="14">
        <v>25</v>
      </c>
      <c r="C34" s="23" t="s">
        <v>935</v>
      </c>
      <c r="D34" s="24">
        <v>0.25</v>
      </c>
      <c r="E34" s="15">
        <v>380544000</v>
      </c>
      <c r="F34" s="15">
        <v>480000000</v>
      </c>
      <c r="G34" s="14" t="s">
        <v>19</v>
      </c>
      <c r="H34" s="16">
        <v>0.00750355917859574</v>
      </c>
      <c r="I34" s="16">
        <v>0.0088359814177097866</v>
      </c>
      <c r="J34" s="14" t="s">
        <v>19</v>
      </c>
    </row>
    <row r="35">
      <c r="B35" s="14">
        <v>26</v>
      </c>
      <c r="C35" s="23" t="s">
        <v>936</v>
      </c>
      <c r="D35" s="24">
        <v>0.5922</v>
      </c>
      <c r="E35" s="15">
        <v>3561851346</v>
      </c>
      <c r="F35" s="15">
        <v>3732003480</v>
      </c>
      <c r="G35" s="14" t="s">
        <v>19</v>
      </c>
      <c r="H35" s="16">
        <v>0.0107764177148192</v>
      </c>
      <c r="I35" s="16">
        <v>0.010541242158788202</v>
      </c>
      <c r="J35" s="14" t="s">
        <v>20</v>
      </c>
    </row>
    <row r="36">
      <c r="B36" s="14">
        <v>27</v>
      </c>
      <c r="C36" s="23" t="s">
        <v>937</v>
      </c>
      <c r="D36" s="24">
        <v>0.0636</v>
      </c>
      <c r="E36" s="15">
        <v>57238164</v>
      </c>
      <c r="F36" s="15">
        <v>52228798</v>
      </c>
      <c r="G36" s="14" t="s">
        <v>20</v>
      </c>
      <c r="H36" s="16">
        <v>0.00241250203749892</v>
      </c>
      <c r="I36" s="16">
        <v>0.0020551482070987974</v>
      </c>
      <c r="J36" s="14" t="s">
        <v>20</v>
      </c>
    </row>
    <row r="37">
      <c r="B37" s="14">
        <v>28</v>
      </c>
      <c r="C37" s="23" t="s">
        <v>938</v>
      </c>
      <c r="D37" s="24">
        <v>0.0894</v>
      </c>
      <c r="E37" s="15">
        <v>74499997</v>
      </c>
      <c r="F37" s="15">
        <v>74499997</v>
      </c>
      <c r="G37" s="14" t="s">
        <v>24</v>
      </c>
      <c r="H37" s="16">
        <v>0.00205192182661205</v>
      </c>
      <c r="I37" s="16">
        <v>0.0019156313444893382</v>
      </c>
      <c r="J37" s="14" t="s">
        <v>20</v>
      </c>
    </row>
    <row r="38">
      <c r="B38" s="14">
        <v>29</v>
      </c>
      <c r="C38" s="23" t="s">
        <v>939</v>
      </c>
      <c r="D38" s="24">
        <v>0.212</v>
      </c>
      <c r="E38" s="15">
        <v>443645930</v>
      </c>
      <c r="F38" s="15">
        <v>477146513</v>
      </c>
      <c r="G38" s="14" t="s">
        <v>19</v>
      </c>
      <c r="H38" s="16">
        <v>0.00337878059136567</v>
      </c>
      <c r="I38" s="16">
        <v>0.0033925508582858888</v>
      </c>
      <c r="J38" s="14" t="s">
        <v>24</v>
      </c>
    </row>
    <row r="39">
      <c r="B39" s="14">
        <v>30</v>
      </c>
      <c r="C39" s="23" t="s">
        <v>940</v>
      </c>
      <c r="D39" s="24">
        <v>0.1931</v>
      </c>
      <c r="E39" s="15">
        <v>3135927400</v>
      </c>
      <c r="F39" s="15">
        <v>3162128360</v>
      </c>
      <c r="G39" s="14" t="s">
        <v>19</v>
      </c>
      <c r="H39" s="16">
        <v>0.11058171703232199</v>
      </c>
      <c r="I39" s="16">
        <v>0.10409933323553919</v>
      </c>
      <c r="J39" s="14" t="s">
        <v>20</v>
      </c>
    </row>
    <row r="40">
      <c r="B40" s="14">
        <v>31</v>
      </c>
      <c r="C40" s="23" t="s">
        <v>941</v>
      </c>
      <c r="D40" s="24">
        <v>1</v>
      </c>
      <c r="E40" s="15">
        <v>10223647156</v>
      </c>
      <c r="F40" s="15">
        <v>10223647156</v>
      </c>
      <c r="G40" s="14" t="s">
        <v>24</v>
      </c>
      <c r="H40" s="16">
        <v>0.014932568552179499</v>
      </c>
      <c r="I40" s="16">
        <v>0.01394073399562307</v>
      </c>
      <c r="J40" s="14" t="s">
        <v>20</v>
      </c>
    </row>
    <row r="41">
      <c r="B41" s="14">
        <v>32</v>
      </c>
      <c r="C41" s="23" t="s">
        <v>942</v>
      </c>
      <c r="D41" s="24">
        <v>0.1484</v>
      </c>
      <c r="E41" s="15">
        <v>8466442600</v>
      </c>
      <c r="F41" s="15">
        <v>8466442600</v>
      </c>
      <c r="G41" s="14" t="s">
        <v>24</v>
      </c>
      <c r="H41" s="16">
        <v>0.107760954130559</v>
      </c>
      <c r="I41" s="16">
        <v>0.1006033751929034</v>
      </c>
      <c r="J41" s="14" t="s">
        <v>20</v>
      </c>
    </row>
    <row r="42">
      <c r="B42" s="14">
        <v>33</v>
      </c>
      <c r="C42" s="23" t="s">
        <v>943</v>
      </c>
      <c r="D42" s="24">
        <v>0.3013</v>
      </c>
      <c r="E42" s="15">
        <v>126449836</v>
      </c>
      <c r="F42" s="15">
        <v>127040132</v>
      </c>
      <c r="G42" s="14" t="s">
        <v>19</v>
      </c>
      <c r="H42" s="16">
        <v>0.00225587488831087</v>
      </c>
      <c r="I42" s="16">
        <v>0.00211586911383458</v>
      </c>
      <c r="J42" s="14" t="s">
        <v>20</v>
      </c>
    </row>
    <row r="43">
      <c r="B43" s="14">
        <v>34</v>
      </c>
      <c r="C43" s="23" t="s">
        <v>944</v>
      </c>
      <c r="D43" s="24">
        <v>0.1051</v>
      </c>
      <c r="E43" s="15">
        <v>158722020</v>
      </c>
      <c r="F43" s="15">
        <v>158722020</v>
      </c>
      <c r="G43" s="14" t="s">
        <v>24</v>
      </c>
      <c r="H43" s="16">
        <v>0.00202021523381375</v>
      </c>
      <c r="I43" s="16">
        <v>0.001886030731423788</v>
      </c>
      <c r="J43" s="14" t="s">
        <v>20</v>
      </c>
    </row>
    <row r="44">
      <c r="B44" s="14">
        <v>35</v>
      </c>
      <c r="C44" s="23" t="s">
        <v>945</v>
      </c>
      <c r="D44" s="24">
        <v>0.2983</v>
      </c>
      <c r="E44" s="15">
        <v>129760500</v>
      </c>
      <c r="F44" s="15">
        <v>129760500</v>
      </c>
      <c r="G44" s="14" t="s">
        <v>24</v>
      </c>
      <c r="H44" s="16">
        <v>0.0034385619726252097</v>
      </c>
      <c r="I44" s="16">
        <v>0.0032101696114990473</v>
      </c>
      <c r="J44" s="14" t="s">
        <v>20</v>
      </c>
    </row>
    <row r="45">
      <c r="B45" s="14">
        <v>36</v>
      </c>
      <c r="C45" s="23" t="s">
        <v>946</v>
      </c>
      <c r="D45" s="24">
        <v>0.2997</v>
      </c>
      <c r="E45" s="15">
        <v>407640850</v>
      </c>
      <c r="F45" s="15">
        <v>437728279</v>
      </c>
      <c r="G45" s="14" t="s">
        <v>19</v>
      </c>
      <c r="H45" s="16">
        <v>0.00506087125049414</v>
      </c>
      <c r="I45" s="16">
        <v>0.0050734492288156078</v>
      </c>
      <c r="J45" s="14" t="s">
        <v>24</v>
      </c>
    </row>
    <row r="46" ht="14.5" customHeight="1" s="6" customFormat="1">
      <c r="B46" s="30" t="s">
        <v>112</v>
      </c>
      <c r="C46" s="30"/>
      <c r="D46" s="30"/>
      <c r="E46" s="30"/>
      <c r="F46" s="30"/>
      <c r="G46" s="30"/>
      <c r="H46" s="30"/>
      <c r="I46" s="30"/>
      <c r="J46" s="30"/>
    </row>
    <row r="47" s="6" customFormat="1">
      <c r="B47" s="31"/>
      <c r="C47" s="31"/>
      <c r="D47" s="31"/>
      <c r="E47" s="31"/>
      <c r="F47" s="31"/>
      <c r="G47" s="31"/>
      <c r="H47" s="31"/>
      <c r="I47" s="31"/>
      <c r="J47" s="31"/>
    </row>
  </sheetData>
  <mergeCells>
    <mergeCell ref="B46:J47"/>
    <mergeCell ref="B2:H2"/>
    <mergeCell ref="B8:B9"/>
    <mergeCell ref="C8:C9"/>
    <mergeCell ref="D8:D9"/>
    <mergeCell ref="E8:G8"/>
    <mergeCell ref="H8:J8"/>
  </mergeCells>
  <conditionalFormatting sqref="B46">
    <cfRule type="expression" dxfId="0" priority="1">
      <formula>$H46="Baru"</formula>
    </cfRule>
  </conditionalFormatting>
  <conditionalFormatting sqref="B10:J45">
    <cfRule type="expression" dxfId="0" priority="2">
      <formula>$J10="Baru"</formula>
    </cfRule>
  </conditionalFormatting>
  <pageMargins left="0.7" right="0.7" top="0.75" bottom="0.75" header="0.3" footer="0.3"/>
  <headerFooter>
    <oddFooter>&amp;L_x000D_&amp;1#&amp;"Calibri"&amp;10&amp;K000000 Kode A</oddFooter>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cac375f-a6f3-411d-b129-f80e7fc560be">
      <Terms xmlns="http://schemas.microsoft.com/office/infopath/2007/PartnerControls"/>
    </lcf76f155ced4ddcb4097134ff3c332f>
    <TaxCatchAll xmlns="bf2d2d51-5782-4bef-9c3c-f70a66af06ee"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DF1090C3C63A48A1FA54E09ED3137F" ma:contentTypeVersion="19" ma:contentTypeDescription="Create a new document." ma:contentTypeScope="" ma:versionID="36650b371d76dfe1aa225aa85c25d579">
  <xsd:schema xmlns:xsd="http://www.w3.org/2001/XMLSchema" xmlns:xs="http://www.w3.org/2001/XMLSchema" xmlns:p="http://schemas.microsoft.com/office/2006/metadata/properties" xmlns:ns1="http://schemas.microsoft.com/sharepoint/v3" xmlns:ns2="9cac375f-a6f3-411d-b129-f80e7fc560be" xmlns:ns3="bf2d2d51-5782-4bef-9c3c-f70a66af06ee" targetNamespace="http://schemas.microsoft.com/office/2006/metadata/properties" ma:root="true" ma:fieldsID="107483b16ea13099c216fe46fe2e525e" ns1:_="" ns2:_="" ns3:_="">
    <xsd:import namespace="http://schemas.microsoft.com/sharepoint/v3"/>
    <xsd:import namespace="9cac375f-a6f3-411d-b129-f80e7fc560be"/>
    <xsd:import namespace="bf2d2d51-5782-4bef-9c3c-f70a66af06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ac375f-a6f3-411d-b129-f80e7fc560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d3291d4-b1d3-43d7-b4ed-cba402f065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2d2d51-5782-4bef-9c3c-f70a66af06ee"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eef4289-bdeb-447a-b5a8-e72268ffce81}" ma:internalName="TaxCatchAll" ma:showField="CatchAllData" ma:web="bf2d2d51-5782-4bef-9c3c-f70a66af06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BACCEF-F3A3-4528-9914-D6FF4C5656B0}">
  <ds:schemaRefs>
    <ds:schemaRef ds:uri="http://schemas.microsoft.com/sharepoint/v3/contenttype/forms"/>
  </ds:schemaRefs>
</ds:datastoreItem>
</file>

<file path=customXml/itemProps2.xml><?xml version="1.0" encoding="utf-8"?>
<ds:datastoreItem xmlns:ds="http://schemas.openxmlformats.org/officeDocument/2006/customXml" ds:itemID="{3EFDCE63-4FBD-4C83-8B86-00566A5C176E}">
  <ds:schemaRefs>
    <ds:schemaRef ds:uri="9cac375f-a6f3-411d-b129-f80e7fc560be"/>
    <ds:schemaRef ds:uri="http://purl.org/dc/dcmitype/"/>
    <ds:schemaRef ds:uri="http://purl.org/dc/elements/1.1/"/>
    <ds:schemaRef ds:uri="http://purl.org/dc/terms/"/>
    <ds:schemaRef ds:uri="http://schemas.microsoft.com/office/2006/metadata/propertie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bf2d2d51-5782-4bef-9c3c-f70a66af06ee"/>
    <ds:schemaRef ds:uri="http://schemas.microsoft.com/sharepoint/v3"/>
  </ds:schemaRefs>
</ds:datastoreItem>
</file>

<file path=customXml/itemProps3.xml><?xml version="1.0" encoding="utf-8"?>
<ds:datastoreItem xmlns:ds="http://schemas.openxmlformats.org/officeDocument/2006/customXml" ds:itemID="{EAD98E21-44CA-44E0-9BD4-94E357987F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ac375f-a6f3-411d-b129-f80e7fc560be"/>
    <ds:schemaRef ds:uri="bf2d2d51-5782-4bef-9c3c-f70a66af06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2fa7aac-11b3-418a-a200-f12d806be2ee}" enabled="1" method="Privileged" siteId="{c8637625-7864-4d75-b77f-a3cc540ef3c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 ENERGY</vt:lpstr>
      <vt:lpstr>B BASIC</vt:lpstr>
      <vt:lpstr>C INDUST</vt:lpstr>
      <vt:lpstr>D NONCYC</vt:lpstr>
      <vt:lpstr>E CYCLIC</vt:lpstr>
      <vt:lpstr>F HEALTH</vt:lpstr>
      <vt:lpstr>G FINANCE</vt:lpstr>
      <vt:lpstr>H PROPERT</vt:lpstr>
      <vt:lpstr>I TECHNO</vt:lpstr>
      <vt:lpstr>J INFRA</vt:lpstr>
      <vt:lpstr>K TRANS</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Arsyil Hendra Saputra</dc:creator>
  <cp:keywords/>
  <dc:description/>
  <cp:lastModifiedBy>Eva Hodijah</cp:lastModifiedBy>
  <cp:revision/>
  <dcterms:created xsi:type="dcterms:W3CDTF">2019-01-18T06:58:30Z</dcterms:created>
  <dcterms:modified xsi:type="dcterms:W3CDTF">2026-03-25T02:25:49Z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0x0101007CDF1090C3C63A48A1FA54E09ED3137F</vt:lpwstr>
  </property>
  <property fmtid="{D5CDD505-2E9C-101B-9397-08002B2CF9AE}" pid="3" name="MediaServiceImageTags">
    <vt:lpwstr/>
  </property>
</Properties>
</file>